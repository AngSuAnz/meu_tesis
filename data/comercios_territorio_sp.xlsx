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\Documents\00_TESIS\meu_tesis\data\"/>
    </mc:Choice>
  </mc:AlternateContent>
  <xr:revisionPtr revIDLastSave="0" documentId="13_ncr:1_{35640A37-CDF8-4797-A2B8-F2ED6477C565}" xr6:coauthVersionLast="47" xr6:coauthVersionMax="47" xr10:uidLastSave="{00000000-0000-0000-0000-000000000000}"/>
  <bookViews>
    <workbookView xWindow="-103" yWindow="-103" windowWidth="22149" windowHeight="13200" xr2:uid="{7FC3CCF3-7BCA-42E8-BEEE-4B41A7F93BBF}"/>
  </bookViews>
  <sheets>
    <sheet name="datos_limpios" sheetId="7" r:id="rId1"/>
    <sheet name="limpieza_datos" sheetId="1" r:id="rId2"/>
    <sheet name="z_datos originales" sheetId="4" r:id="rId3"/>
    <sheet name="solapados_tanda1y2" sheetId="5" r:id="rId4"/>
    <sheet name="Hoja3" sheetId="3" state="hidden" r:id="rId5"/>
    <sheet name="Hoja2" sheetId="2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3" i="4" l="1"/>
  <c r="O25" i="5"/>
  <c r="Q57" i="5" s="1"/>
  <c r="N19" i="5"/>
  <c r="M19" i="5"/>
  <c r="L19" i="5"/>
  <c r="K19" i="5"/>
  <c r="Q16" i="5"/>
  <c r="Q50" i="5" s="1"/>
  <c r="N13" i="5"/>
  <c r="M13" i="5"/>
  <c r="L13" i="5"/>
  <c r="K13" i="5"/>
  <c r="L7" i="5"/>
  <c r="M7" i="5"/>
  <c r="N7" i="5"/>
  <c r="K7" i="5"/>
  <c r="O4" i="5"/>
  <c r="Q39" i="5" s="1"/>
  <c r="O21" i="5"/>
  <c r="O22" i="5" s="1"/>
  <c r="Q56" i="5" s="1"/>
  <c r="P18" i="5"/>
  <c r="P19" i="5" s="1"/>
  <c r="Q55" i="5" s="1"/>
  <c r="P9" i="5"/>
  <c r="P10" i="5" s="1"/>
  <c r="Q45" i="5" s="1"/>
  <c r="P6" i="5"/>
  <c r="P7" i="5" s="1"/>
  <c r="Q44" i="5" s="1"/>
  <c r="P107" i="4"/>
  <c r="P103" i="4"/>
  <c r="P101" i="4"/>
  <c r="P97" i="4"/>
  <c r="P95" i="4"/>
  <c r="P89" i="4"/>
  <c r="P86" i="4"/>
  <c r="P84" i="4"/>
  <c r="O83" i="4"/>
  <c r="B22" i="3"/>
  <c r="B23" i="3"/>
  <c r="B24" i="3"/>
  <c r="B25" i="3"/>
  <c r="B26" i="3"/>
  <c r="B27" i="3"/>
  <c r="B28" i="3"/>
  <c r="B29" i="3"/>
  <c r="B30" i="3"/>
  <c r="B31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3" i="3"/>
  <c r="A1" i="2" a="1"/>
  <c r="A1" i="2" s="1"/>
  <c r="Q46" i="5" l="1" a="1"/>
  <c r="Q46" i="5" s="1"/>
  <c r="Q51" i="5" a="1"/>
  <c r="Q51" i="5" s="1"/>
  <c r="Q40" i="5" a="1"/>
  <c r="Q40" i="5" s="1"/>
  <c r="P39" i="5" l="1"/>
  <c r="Q93" i="1" s="1"/>
  <c r="M82" i="1" l="1"/>
  <c r="L97" i="1"/>
  <c r="P93" i="1"/>
  <c r="N87" i="1"/>
  <c r="L89" i="1"/>
  <c r="M93" i="1"/>
  <c r="Q89" i="1"/>
  <c r="N89" i="1"/>
  <c r="P81" i="1"/>
  <c r="N96" i="1"/>
  <c r="M78" i="1"/>
  <c r="K99" i="1"/>
  <c r="Q88" i="1"/>
  <c r="O95" i="1"/>
  <c r="N88" i="1"/>
  <c r="P85" i="1"/>
  <c r="K79" i="1"/>
  <c r="P95" i="1"/>
  <c r="O82" i="1"/>
  <c r="Q97" i="1"/>
  <c r="M97" i="1"/>
  <c r="P84" i="1"/>
  <c r="L78" i="1"/>
  <c r="N98" i="1"/>
  <c r="Q80" i="1"/>
  <c r="M81" i="1"/>
  <c r="P78" i="1"/>
  <c r="K95" i="1"/>
  <c r="N80" i="1"/>
  <c r="Q83" i="1"/>
  <c r="M90" i="1"/>
  <c r="P98" i="1"/>
  <c r="L82" i="1"/>
  <c r="O84" i="1"/>
  <c r="Q86" i="1"/>
  <c r="N94" i="1"/>
  <c r="K91" i="1"/>
  <c r="L99" i="1"/>
  <c r="O90" i="1"/>
  <c r="Q99" i="1"/>
  <c r="N86" i="1"/>
  <c r="K83" i="1"/>
  <c r="M94" i="1"/>
  <c r="L88" i="1"/>
  <c r="Q98" i="1"/>
  <c r="O92" i="1"/>
  <c r="N85" i="1"/>
  <c r="L93" i="1"/>
  <c r="K82" i="1"/>
  <c r="Q91" i="1"/>
  <c r="M79" i="1"/>
  <c r="L90" i="1"/>
  <c r="M86" i="1"/>
  <c r="L80" i="1"/>
  <c r="K85" i="1"/>
  <c r="N91" i="1"/>
  <c r="P87" i="1"/>
  <c r="L94" i="1"/>
  <c r="O96" i="1"/>
  <c r="Q96" i="1"/>
  <c r="M89" i="1"/>
  <c r="L83" i="1"/>
  <c r="O85" i="1"/>
  <c r="Q94" i="1"/>
  <c r="M92" i="1"/>
  <c r="P79" i="1"/>
  <c r="L86" i="1"/>
  <c r="O78" i="1"/>
  <c r="K89" i="1"/>
  <c r="N78" i="1"/>
  <c r="P91" i="1"/>
  <c r="L96" i="1"/>
  <c r="K78" i="1"/>
  <c r="N83" i="1"/>
  <c r="K88" i="1"/>
  <c r="O98" i="1"/>
  <c r="O80" i="1"/>
  <c r="M84" i="1"/>
  <c r="N97" i="1"/>
  <c r="K80" i="1"/>
  <c r="O91" i="1"/>
  <c r="L92" i="1"/>
  <c r="O94" i="1"/>
  <c r="N79" i="1"/>
  <c r="Q82" i="1"/>
  <c r="M95" i="1"/>
  <c r="L81" i="1"/>
  <c r="K92" i="1"/>
  <c r="P94" i="1"/>
  <c r="N99" i="1"/>
  <c r="M96" i="1"/>
  <c r="N81" i="1"/>
  <c r="M80" i="1"/>
  <c r="P86" i="1"/>
  <c r="O87" i="1"/>
  <c r="P96" i="1"/>
  <c r="L95" i="1"/>
  <c r="O97" i="1"/>
  <c r="K84" i="1"/>
  <c r="N90" i="1"/>
  <c r="Q78" i="1"/>
  <c r="L84" i="1"/>
  <c r="O86" i="1"/>
  <c r="Q95" i="1"/>
  <c r="M88" i="1"/>
  <c r="P97" i="1"/>
  <c r="L87" i="1"/>
  <c r="N95" i="1"/>
  <c r="M91" i="1"/>
  <c r="P99" i="1"/>
  <c r="L98" i="1"/>
  <c r="O79" i="1"/>
  <c r="K86" i="1"/>
  <c r="N92" i="1"/>
  <c r="P88" i="1"/>
  <c r="O88" i="1"/>
  <c r="P90" i="1"/>
  <c r="M98" i="1"/>
  <c r="K81" i="1"/>
  <c r="Q90" i="1"/>
  <c r="P80" i="1"/>
  <c r="M85" i="1"/>
  <c r="Q92" i="1"/>
  <c r="K94" i="1"/>
  <c r="P82" i="1"/>
  <c r="O83" i="1"/>
  <c r="M99" i="1"/>
  <c r="K93" i="1"/>
  <c r="Q81" i="1"/>
  <c r="P83" i="1"/>
  <c r="K96" i="1"/>
  <c r="Q84" i="1"/>
  <c r="L85" i="1"/>
  <c r="M87" i="1"/>
  <c r="M83" i="1"/>
  <c r="O89" i="1"/>
  <c r="K97" i="1"/>
  <c r="N82" i="1"/>
  <c r="Q85" i="1"/>
  <c r="O99" i="1"/>
  <c r="K87" i="1"/>
  <c r="N93" i="1"/>
  <c r="P89" i="1"/>
  <c r="L79" i="1"/>
  <c r="O81" i="1"/>
  <c r="K90" i="1"/>
  <c r="P92" i="1"/>
  <c r="L91" i="1"/>
  <c r="O93" i="1"/>
  <c r="K98" i="1"/>
  <c r="N84" i="1"/>
  <c r="Q87" i="1"/>
  <c r="Q7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<sst xmlns="http://schemas.openxmlformats.org/spreadsheetml/2006/main" count="2063" uniqueCount="392">
  <si>
    <t>Calle</t>
  </si>
  <si>
    <t>Altura</t>
  </si>
  <si>
    <t>direccion</t>
  </si>
  <si>
    <t>ID_direcciones</t>
  </si>
  <si>
    <t>Rubro</t>
  </si>
  <si>
    <t>leche</t>
  </si>
  <si>
    <t>azucar</t>
  </si>
  <si>
    <t>arroz</t>
  </si>
  <si>
    <t>papa</t>
  </si>
  <si>
    <t>fiambre/jc</t>
  </si>
  <si>
    <t>carne pic</t>
  </si>
  <si>
    <t>¿Cuáles son los principales factores que encarecen los productos que vendés?</t>
  </si>
  <si>
    <t>Inquilino/ Propietario</t>
  </si>
  <si>
    <t>Alquiler</t>
  </si>
  <si>
    <t>Dificultades para abastecerse, otros comentarios</t>
  </si>
  <si>
    <t>relevado</t>
  </si>
  <si>
    <t>numero real</t>
  </si>
  <si>
    <t>https://maps.google.com/maps?q=-34.59994888305664%2C-58.37699508666992&amp;z=17&amp;hl=es</t>
  </si>
  <si>
    <t>link</t>
  </si>
  <si>
    <t>https://maps.google.com/maps?q=-34.59996032714844%2C-58.37679672241211&amp;z=17&amp;hl=es</t>
  </si>
  <si>
    <t>Supermercado Carrefour Express</t>
  </si>
  <si>
    <t>Carniceria RES</t>
  </si>
  <si>
    <t>https://maps.google.com/maps?q=-34.599769592285156%2C-58.376834869384766&amp;z=17&amp;hl=es</t>
  </si>
  <si>
    <t>https://maps.google.com/maps?q=-34.598236083984375%2C-58.376956939697266&amp;z=17&amp;hl=es</t>
  </si>
  <si>
    <t>Almacen Chino</t>
  </si>
  <si>
    <t>si</t>
  </si>
  <si>
    <t>no</t>
  </si>
  <si>
    <t>https://maps.google.com/maps?q=-34.59791946411133%2C-58.37689971923828&amp;z=17&amp;hl=es</t>
  </si>
  <si>
    <t>Carniceria Fiambreria</t>
  </si>
  <si>
    <t>https://maps.google.com/maps?q=-34.59733581542969%2C-58.37691879272461&amp;z=17&amp;hl=es</t>
  </si>
  <si>
    <t>https://maps.google.com/maps?q=-34.596309661865234%2C-58.37836837768555&amp;z=17&amp;hl=es</t>
  </si>
  <si>
    <t>https://maps.google.com/maps?q=-34.59626770019531%2C-58.37843322753906&amp;z=17&amp;hl=es</t>
  </si>
  <si>
    <t>https://maps.google.com/maps?q=-34.59589767456055%2C-58.37848663330078&amp;z=17&amp;hl=es</t>
  </si>
  <si>
    <t>https://maps.google.com/maps?q=-34.5966682434082%2C-58.37837600708008&amp;z=17&amp;hl=es</t>
  </si>
  <si>
    <t>https://maps.google.com/maps?q=-34.59672546386719%2C-58.37849044799805&amp;z=17&amp;hl=es</t>
  </si>
  <si>
    <t>Verduleria</t>
  </si>
  <si>
    <t>https://maps.google.com/maps?q=-34.59750747680664%2C-58.3781852722168&amp;z=17&amp;hl=es</t>
  </si>
  <si>
    <t>Supermercado Dia</t>
  </si>
  <si>
    <t>https://maps.google.com/maps?q=-34.59797668457031%2C-58.378299713134766&amp;z=17&amp;hl=es</t>
  </si>
  <si>
    <t>https://maps.google.com/maps?q=-34.598628997802734%2C-58.37840270996094&amp;z=17&amp;hl=es</t>
  </si>
  <si>
    <t>https://maps.google.com/maps?q=-34.60411071777344%2C-58.3782844543457&amp;z=17&amp;hl=es</t>
  </si>
  <si>
    <t>https://maps.google.com/maps?q=-34.60270690917969%2C-58.37809371948242&amp;z=17&amp;hl=es</t>
  </si>
  <si>
    <t>https://maps.google.com/maps?q=-34.60324478149414%2C-58.3781623840332&amp;z=17&amp;hl=es</t>
  </si>
  <si>
    <t>https://maps.google.com/maps?q=-34.601531982421875%2C-58.37953186035156&amp;z=17&amp;hl=es</t>
  </si>
  <si>
    <t>https://maps.google.com/maps?q=-34.599891662597656%2C-58.37984848022461&amp;z=17&amp;hl=es</t>
  </si>
  <si>
    <t>https://maps.google.com/maps?q=-34.599876403808594%2C-58.379634857177734&amp;z=17&amp;hl=es</t>
  </si>
  <si>
    <t>https://maps.google.com/maps?q=-34.59871292114258%2C-58.37973403930664&amp;z=17&amp;hl=es</t>
  </si>
  <si>
    <t>Almacen</t>
  </si>
  <si>
    <t>https://maps.google.com/maps?q=-34.5986896%2C-58.3797565&amp;z=17&amp;hl=es</t>
  </si>
  <si>
    <t>https://maps.google.com/maps?q=-34.598295%2C-58.3797894&amp;z=17&amp;hl=es</t>
  </si>
  <si>
    <t>https://maps.google.com/maps?q=-34.5980989%2C-58.3797356&amp;z=17&amp;hl=es</t>
  </si>
  <si>
    <t>https://maps.google.com/maps?q=-34.5971262%2C-58.3798431&amp;z=17&amp;hl=es</t>
  </si>
  <si>
    <t>https://maps.google.com/maps?q=-34.59231185913086%2C-58.37621307373047&amp;z=17&amp;hl=es</t>
  </si>
  <si>
    <t>marca_temp_CEST</t>
  </si>
  <si>
    <t>https://maps.google.com/maps?q=-34.58771896362305%2C-58.38430404663086&amp;z=17&amp;hl=es</t>
  </si>
  <si>
    <t>https://maps.google.com/maps?q=-34.586002349853516%2C-58.387351989746094&amp;z=17&amp;hl=es</t>
  </si>
  <si>
    <t>https://maps.google.com/maps?q=-34.585933685302734%2C-58.387969970703125&amp;z=17&amp;hl=es</t>
  </si>
  <si>
    <t>https://maps.google.com/maps?q=-34.5875244140625%2C-58.38737106323242&amp;z=17&amp;hl=es</t>
  </si>
  <si>
    <t>Kiosco Mini Market</t>
  </si>
  <si>
    <t>https://maps.google.com/maps?q=-34.59185791015625%2C-58.378448486328125&amp;z=17&amp;hl=es</t>
  </si>
  <si>
    <t>Supermercado Disco</t>
  </si>
  <si>
    <t>Supermercado Jumbo</t>
  </si>
  <si>
    <t>https://www.google.com/maps?q=-34.594242095947266,-58.38105392456055&amp;z=17&amp;hl=es</t>
  </si>
  <si>
    <t>https://www.google.com/maps?q=-34.5941162109375,-58.37980270385742&amp;z=17&amp;hl=es</t>
  </si>
  <si>
    <t>https://www.google.com/maps?q=-34.59412384033203,-58.37968444824219&amp;z=17&amp;hl=es</t>
  </si>
  <si>
    <t>https://www.google.com/maps?q=-34.594486236572266,-58.381168365478516&amp;z=17&amp;hl=es</t>
  </si>
  <si>
    <t>Fiambreria</t>
  </si>
  <si>
    <t>https://www.google.com/maps?q=-34.595272064208984,-58.39004898071289&amp;z=17&amp;hl=es</t>
  </si>
  <si>
    <t>https://www.google.com/maps?q=-34.595726013183594,-58.39558029174805&amp;z=17&amp;hl=es</t>
  </si>
  <si>
    <t>Supermercado Carrefour Market</t>
  </si>
  <si>
    <t>https://www.google.com/maps?q=-34.59343338012695,-58.39544677734375&amp;z=17&amp;hl=es</t>
  </si>
  <si>
    <t>https://www.google.com/maps?q=-34.594173431396484,-58.390567779541016&amp;z=17&amp;hl=es</t>
  </si>
  <si>
    <t>https://www.google.com/maps?q=-34.592796325683594,-58.385894775390625&amp;z=17&amp;hl=es</t>
  </si>
  <si>
    <t>https://www.google.com/maps?q=-34.59281921386719,-58.38087463378906&amp;z=17&amp;hl=es</t>
  </si>
  <si>
    <t>https://www.google.com/maps?q=-34.59286880493164,-58.37950897216797&amp;z=17&amp;hl=es</t>
  </si>
  <si>
    <t>https://www.google.com/maps?q=-34.595916748046875,-58.37848663330078&amp;z=17&amp;hl=es</t>
  </si>
  <si>
    <t>https://www.google.com/maps?q=-34.596309661865234,-58.37841796875&amp;z=17&amp;hl=es</t>
  </si>
  <si>
    <t>https://www.google.com/maps?q=-34.5966682434082,-58.380836486816406&amp;z=17&amp;hl=es</t>
  </si>
  <si>
    <t>https://www.google.com/maps?q=-34.597015380859375,-58.386722564697266&amp;z=17&amp;hl=es</t>
  </si>
  <si>
    <t>https://www.google.com/maps?q=-34.597110748291016,-58.38776779174805&amp;z=17&amp;hl=es</t>
  </si>
  <si>
    <t>https://www.google.com/maps?q=-34.596981048583984,-58.391845703125&amp;z=17&amp;hl=es</t>
  </si>
  <si>
    <t>https://www.google.com/maps?q=-34.597049713134766,-58.3918571472168&amp;z=17&amp;hl=es</t>
  </si>
  <si>
    <t>https://www.google.com/maps?q=-34.59523391723633,-58.39204406738281&amp;z=17&amp;hl=es</t>
  </si>
  <si>
    <t>https://maps.app.goo.gl/NnzZjF3J42cx8rry5</t>
  </si>
  <si>
    <t>https://www.google.com/maps?q=-34.59260940551758,-58.39096450805664&amp;z=17&amp;hl=es</t>
  </si>
  <si>
    <t>https://www.google.com/maps?q=-34.59233474731445,-58.39065933227539&amp;z=17&amp;hl=es</t>
  </si>
  <si>
    <t>https://www.google.com/maps?q=-34.59212875366211,-58.39039993286133&amp;z=17&amp;hl=es</t>
  </si>
  <si>
    <t>Carniceria</t>
  </si>
  <si>
    <t>https://www.google.com/maps?q=-34.59202194213867,-58.39025115966797&amp;z=17&amp;hl=es</t>
  </si>
  <si>
    <t>https://www.google.com/maps?q=-34.591915130615234,-58.39011001586914&amp;z=17&amp;hl=es</t>
  </si>
  <si>
    <t>https://www.google.com/maps?q=-34.59193801879883,-58.3901481628418&amp;z=17&amp;hl=es</t>
  </si>
  <si>
    <t>https://www.google.com/maps?q=-34.59187698364258,-58.39030838012695&amp;z=17&amp;hl=es</t>
  </si>
  <si>
    <t>https://www.google.com/maps?q=-34.591819763183594,-58.38996887207031&amp;z=17&amp;hl=es</t>
  </si>
  <si>
    <t>https://www.google.com/maps?q=-34.591373443603516,-58.389549255371094&amp;z=17&amp;hl=es</t>
  </si>
  <si>
    <t>https://www.google.com/maps?q=-34.59014892578125,-58.388126373291016&amp;z=17&amp;hl=es</t>
  </si>
  <si>
    <t>https://www.google.com/maps?q=-34.592044830322266,-58.39152145385742&amp;z=17&amp;hl=es</t>
  </si>
  <si>
    <t>https://www.google.com/maps?q=-34.59115219116211,-58.39268493652344&amp;z=17&amp;hl=es</t>
  </si>
  <si>
    <t>https://www.google.com/maps?q=-34.59111022949219,-58.39280319213867&amp;z=17&amp;hl=es</t>
  </si>
  <si>
    <t>https://www.google.com/maps?q=-34.59097671508789,-58.39504623413086&amp;z=17&amp;hl=es</t>
  </si>
  <si>
    <t>fecha_hora_cest</t>
  </si>
  <si>
    <t>POINT(-58.376946823984355 -34.599772246759564)</t>
  </si>
  <si>
    <t>POINT(-58.37675915281983 -34.599783646783784)</t>
  </si>
  <si>
    <t>POINT(-58.39159890397613 -34.592840347247986)</t>
  </si>
  <si>
    <t>POINT(-58.390686125833184 -34.59214036631195)</t>
  </si>
  <si>
    <t>POINT(-58.390480370010486 -34.59189913721304)</t>
  </si>
  <si>
    <t>POINT(-58.390202923984674 -34.591801069084674)</t>
  </si>
  <si>
    <t>POINT(-58.39010463932667 -34.591711933155025)</t>
  </si>
  <si>
    <t>POINT(-58.39019648350406 -34.591734833211085)</t>
  </si>
  <si>
    <t>POINT(-58.39034595466865 -34.59173565830041)</t>
  </si>
  <si>
    <t>POINT(-58.38994208165563 -34.59166079384194)</t>
  </si>
  <si>
    <t>POINT(-58.38958685466864 -34.59115256736145)</t>
  </si>
  <si>
    <t>POINT(-58.38813176816218 -34.589919231741334)</t>
  </si>
  <si>
    <t>POINT(-58.39152686816208 -34.59187696211415)</t>
  </si>
  <si>
    <t>POINT(-58.39287294117505 -34.590880534397805)</t>
  </si>
  <si>
    <t>POINT(-58.394997923984896 -34.59080002768448)</t>
  </si>
  <si>
    <t>POINT(-58.39095913932674 -34.59236207432891)</t>
  </si>
  <si>
    <t>POINT(-58.376872454668245 -34.59954878967517)</t>
  </si>
  <si>
    <t>POINT(-58.37690862398452 -34.59804178011319)</t>
  </si>
  <si>
    <t>POINT(-58.37691579699724 -34.597707516297156)</t>
  </si>
  <si>
    <t>POINT(-58.37692416816192 -34.59711498320661)</t>
  </si>
  <si>
    <t>POINT(-58.37833085282006 -34.59612420731531)</t>
  </si>
  <si>
    <t>POINT(-58.37836346631361 -34.59609103893263)</t>
  </si>
  <si>
    <t>POINT(-58.37839540864261 -34.59571220639564)</t>
  </si>
  <si>
    <t>POINT(-58.378327723984455 -34.596403223057045)</t>
  </si>
  <si>
    <t>POINT(-58.37844212398452 -34.59655767156747)</t>
  </si>
  <si>
    <t>POINT(-58.378201396997426 -34.597295515245946)</t>
  </si>
  <si>
    <t>POINT(-58.378272881655505 -34.59776471644315)</t>
  </si>
  <si>
    <t>POINT(-58.3784617123392 -34.59848766978374)</t>
  </si>
  <si>
    <t>POINT(-58.37825768165517 -34.603881070332164)</t>
  </si>
  <si>
    <t>POINT(-58.37807761049078 -34.60250375954193)</t>
  </si>
  <si>
    <t>POINT(-58.378135581655215 -34.60302399891231)</t>
  </si>
  <si>
    <t>POINT(-58.379472895148915 -34.60132885666888)</t>
  </si>
  <si>
    <t>POINT(-58.37983241049086 -34.599679721329295)</t>
  </si>
  <si>
    <t>POINT(-58.37975009699739 -34.59856273847909)</t>
  </si>
  <si>
    <t>POINT(-58.379740410490925 -34.59846878680459)</t>
  </si>
  <si>
    <t>POINT(-58.379773310490876 -34.59810951174743)</t>
  </si>
  <si>
    <t>POINT(-58.3797624258329 -34.59795756888206)</t>
  </si>
  <si>
    <t>POINT(-58.379805552819946 -34.59694954075799)</t>
  </si>
  <si>
    <t>POINT(-58.376207739326574 -34.592117566258686)</t>
  </si>
  <si>
    <t>POINT(-58.384298639326836 -34.587533488139755)</t>
  </si>
  <si>
    <t>POINT(-58.38738955466894 -34.58580795150509)</t>
  </si>
  <si>
    <t>POINT(-58.38795391049146 -34.585721685720785)</t>
  </si>
  <si>
    <t>POINT(-58.38743011233964 -34.58733888770553)</t>
  </si>
  <si>
    <t>POINT(-58.3784753258331 -34.59167239737799)</t>
  </si>
  <si>
    <t>POINT(-58.38104853932667 -34.59403893884416)</t>
  </si>
  <si>
    <t>POINT(-58.37982952583306 -34.59393953435863)</t>
  </si>
  <si>
    <t>POINT(-58.37971122583305 -34.59394713437477)</t>
  </si>
  <si>
    <t>POINT(-58.381227412339314 -34.59430070324479)</t>
  </si>
  <si>
    <t>POINT(-58.39003291049102 -34.595077773181245)</t>
  </si>
  <si>
    <t>POINT(-58.395639312339405 -34.595505178928306)</t>
  </si>
  <si>
    <t>POINT(-58.395484354668504 -34.59323906888116)</t>
  </si>
  <si>
    <t>POINT(-58.39057316816209 -34.5940408941348)</t>
  </si>
  <si>
    <t>POINT(-58.38591089699757 -34.59260196739151)</t>
  </si>
  <si>
    <t>POINT(-58.380826323984714 -34.5926955240478)</t>
  </si>
  <si>
    <t>POINT(-58.37947145282013 -34.592665635486746)</t>
  </si>
  <si>
    <t>POINT(-58.378459781655636 -34.59576653342594)</t>
  </si>
  <si>
    <t>POINT(-58.37846628350382 -34.59605355362885)</t>
  </si>
  <si>
    <t>POINT(-58.38085259699755 -34.59652686644874)</t>
  </si>
  <si>
    <t>POINT(-58.38674942583296 -34.59683874052231)</t>
  </si>
  <si>
    <t>POINT(-58.387751710490875 -34.596969367201325)</t>
  </si>
  <si>
    <t>POINT(-58.39182961049093 -34.596830835349316)</t>
  </si>
  <si>
    <t>POINT(-58.39184101049094 -34.59689070384834)</t>
  </si>
  <si>
    <t>POINT(-58.39207092583292 -34.59507490037388)</t>
  </si>
  <si>
    <t>csp_0001</t>
  </si>
  <si>
    <t>csp_0002</t>
  </si>
  <si>
    <t>csp_0003</t>
  </si>
  <si>
    <t>csp_0004</t>
  </si>
  <si>
    <t>csp_0005</t>
  </si>
  <si>
    <t>csp_0006</t>
  </si>
  <si>
    <t>csp_0007</t>
  </si>
  <si>
    <t>csp_0008</t>
  </si>
  <si>
    <t>csp_0009</t>
  </si>
  <si>
    <t>csp_0010</t>
  </si>
  <si>
    <t>csp_0011</t>
  </si>
  <si>
    <t>csp_0012</t>
  </si>
  <si>
    <t>csp_0013</t>
  </si>
  <si>
    <t>csp_0014</t>
  </si>
  <si>
    <t>csp_0015</t>
  </si>
  <si>
    <t>csp_0016</t>
  </si>
  <si>
    <t>csp_0017</t>
  </si>
  <si>
    <t>csp_0018</t>
  </si>
  <si>
    <t>csp_0019</t>
  </si>
  <si>
    <t>csp_0020</t>
  </si>
  <si>
    <t>csp_0021</t>
  </si>
  <si>
    <t>csp_0022</t>
  </si>
  <si>
    <t>csp_0023</t>
  </si>
  <si>
    <t>csp_0024</t>
  </si>
  <si>
    <t>csp_0025</t>
  </si>
  <si>
    <t>csp_0026</t>
  </si>
  <si>
    <t>csp_0027</t>
  </si>
  <si>
    <t>csp_0028</t>
  </si>
  <si>
    <t>csp_0029</t>
  </si>
  <si>
    <t>csp_0030</t>
  </si>
  <si>
    <t>csp_0031</t>
  </si>
  <si>
    <t>csp_0032</t>
  </si>
  <si>
    <t>csp_0033</t>
  </si>
  <si>
    <t>csp_0034</t>
  </si>
  <si>
    <t>csp_0035</t>
  </si>
  <si>
    <t>csp_0036</t>
  </si>
  <si>
    <t>csp_0037</t>
  </si>
  <si>
    <t>csp_0038</t>
  </si>
  <si>
    <t>csp_0039</t>
  </si>
  <si>
    <t>csp_0040</t>
  </si>
  <si>
    <t>csp_0041</t>
  </si>
  <si>
    <t>csp_0042</t>
  </si>
  <si>
    <t>csp_0043</t>
  </si>
  <si>
    <t>csp_0044</t>
  </si>
  <si>
    <t>csp_0045</t>
  </si>
  <si>
    <t>csp_0046</t>
  </si>
  <si>
    <t>csp_0047</t>
  </si>
  <si>
    <t>csp_0048</t>
  </si>
  <si>
    <t>csp_0049</t>
  </si>
  <si>
    <t>csp_0050</t>
  </si>
  <si>
    <t>csp_0051</t>
  </si>
  <si>
    <t>csp_0052</t>
  </si>
  <si>
    <t>csp_0053</t>
  </si>
  <si>
    <t>csp_0054</t>
  </si>
  <si>
    <t>csp_0055</t>
  </si>
  <si>
    <t>csp_0056</t>
  </si>
  <si>
    <t>csp_0057</t>
  </si>
  <si>
    <t>csp_0058</t>
  </si>
  <si>
    <t>csp_0059</t>
  </si>
  <si>
    <t>csp_0060</t>
  </si>
  <si>
    <t>csp_0061</t>
  </si>
  <si>
    <t>csp_0062</t>
  </si>
  <si>
    <t>csp_0063</t>
  </si>
  <si>
    <t>csp_0064</t>
  </si>
  <si>
    <t>csp_0065</t>
  </si>
  <si>
    <t>csp_0066</t>
  </si>
  <si>
    <t>csp_0067</t>
  </si>
  <si>
    <t>csp_0068</t>
  </si>
  <si>
    <t>csp_0069</t>
  </si>
  <si>
    <t>csp_0070</t>
  </si>
  <si>
    <t>csp_0071</t>
  </si>
  <si>
    <t>csp_0072</t>
  </si>
  <si>
    <t>csp_0073</t>
  </si>
  <si>
    <t>csp_0074</t>
  </si>
  <si>
    <t>csp_0075</t>
  </si>
  <si>
    <t>geometry</t>
  </si>
  <si>
    <t>POINT(-58.379683183503644 -34.599664421290306)</t>
  </si>
  <si>
    <t>POINT(-58.39263662398475 -34.59092253451398)</t>
  </si>
  <si>
    <t>id_comercio</t>
  </si>
  <si>
    <t>sector_bm</t>
  </si>
  <si>
    <t>(U marca de cada producto, y pocos ejemplares por producto. muy poco provisto)</t>
  </si>
  <si>
    <t>harina</t>
  </si>
  <si>
    <t>cadena</t>
  </si>
  <si>
    <t>POINT(-58.394901 -34.589634)</t>
  </si>
  <si>
    <t>https://www.google.com/maps/place/34%C2%B035'23.0%22S+58%C2%B023'40.3%22W/@-34.5897331,-58.3971023,17z/data=!3m1!4b1!4m4!3m3!8m2!3d-34.5897331!4d-58.3945274?hl=es&amp;entry=ttu&amp;g_ep=EgoyMDI2MDMwOC4wIKXMDSoASAFQAw%3D%3D</t>
  </si>
  <si>
    <t>https://www.google.com/maps?q=-34.589942932128906,-58.39411926269531&amp;z=17&amp;hl=es</t>
  </si>
  <si>
    <t>-34.589943, -58.394119</t>
  </si>
  <si>
    <t>https://www.google.com/maps?q=-34.59031295776367,-58.39366912841797&amp;z=17&amp;hl=es</t>
  </si>
  <si>
    <t>-34.590313, -58.393669</t>
  </si>
  <si>
    <t>https://www.google.com/maps?q=-34.59075164794922,-58.39310073852539&amp;z=17&amp;hl=es</t>
  </si>
  <si>
    <t>-34.590752, -58.393101</t>
  </si>
  <si>
    <t>https://www.google.com/maps?q=-34.59121322631836,-58.39257049560547&amp;z=17&amp;hl=es</t>
  </si>
  <si>
    <t>-34.591213, -58.392571</t>
  </si>
  <si>
    <t>https://www.google.com/maps?q=-34.59210205078125,-58.39177703857422&amp;z=17&amp;hl=es</t>
  </si>
  <si>
    <t>-34.592102, -58.391777</t>
  </si>
  <si>
    <t>https://www.google.com/maps?q=-34.592506408691406,-58.39102554321289&amp;z=17&amp;hl=es</t>
  </si>
  <si>
    <t>-34.592506, -58.391026</t>
  </si>
  <si>
    <t>tanda</t>
  </si>
  <si>
    <t>https://www.google.com/maps?q=-34.59082794189453,-58.39295196533203&amp;z=17&amp;hl=es</t>
  </si>
  <si>
    <t>-34.590828, -58.392952</t>
  </si>
  <si>
    <t>https://www.google.com/maps?q=-34.5910758972168,-58.390586853027344&amp;z=17&amp;hl=es</t>
  </si>
  <si>
    <t>-34.591076, -58.390587</t>
  </si>
  <si>
    <t>https://www.google.com/maps?q=-34.59125900268555,-58.39048385620117&amp;z=17&amp;hl=es</t>
  </si>
  <si>
    <t>-34.591259, -58.390484</t>
  </si>
  <si>
    <t>https://www.google.com/maps?q=-34.59193801879883,-58.389732360839844&amp;z=17&amp;hl=es</t>
  </si>
  <si>
    <t>-34.591938, -58.389732</t>
  </si>
  <si>
    <t>https://www.google.com/maps?q=-34.58756637573242,-58.38724136352539&amp;z=17&amp;hl=es</t>
  </si>
  <si>
    <t>-34.587566, -58.387241</t>
  </si>
  <si>
    <t>https://www.google.com/maps?q=-34.59189224243164,-58.38420104980469&amp;z=17&amp;hl=es</t>
  </si>
  <si>
    <t>-34.591892, -58.384201</t>
  </si>
  <si>
    <t>https://www.google.com/maps?q=-34.59242630004883,-58.384403228759766&amp;z=17&amp;hl=es</t>
  </si>
  <si>
    <t>-34.592426, -58.384403</t>
  </si>
  <si>
    <t>https://www.google.com/maps?q=-34.58757019042969,-58.38422775268555&amp;z=17&amp;hl=es</t>
  </si>
  <si>
    <t>-34.587570, -58.384228</t>
  </si>
  <si>
    <t>https://www.google.com/maps?q=-34.58774948120117,-58.38578796386719&amp;z=17&amp;hl=es</t>
  </si>
  <si>
    <t>-34.587750, -58.385788</t>
  </si>
  <si>
    <t>https://www.google.com/maps?q=-34.59028244018555,-58.388267517089844&amp;z=17&amp;hl=es</t>
  </si>
  <si>
    <t>-34.590282, -58.388268</t>
  </si>
  <si>
    <t>https://www.google.com/maps?q=-34.59125518798828,-58.3893928527832&amp;z=17&amp;hl=es</t>
  </si>
  <si>
    <t>-34.591255, -58.389393</t>
  </si>
  <si>
    <t>https://www.google.com/maps?q=-34.59230422973633,-58.392173767089844&amp;z=17&amp;hl=es</t>
  </si>
  <si>
    <t>-34.592304, -58.392174</t>
  </si>
  <si>
    <t>https://www.google.com/maps?q=-34.58652114868164,-58.38648223876953&amp;z=17&amp;hl=es</t>
  </si>
  <si>
    <t>-34.586521, -58.386482</t>
  </si>
  <si>
    <t>https://www.google.com/maps?q=-34.5859489440918,-58.38724136352539&amp;z=17&amp;hl=es</t>
  </si>
  <si>
    <t>-34.585949, -58.387241</t>
  </si>
  <si>
    <t>https://www.google.com/maps?q=-34.59074783325195,-58.3927001953125&amp;z=17&amp;hl=es</t>
  </si>
  <si>
    <t>https://www.google.com/maps/place/34%C2%B035'24.3%22S+58%C2%B023'45.2%22W/@-34.5900879,-58.3984718,17z/data=!3m1!4b1!4m4!3m3!8m2!3d-34.5900879!4d-58.3958969?hl=es&amp;entry=ttu&amp;g_ep=EgoyMDI2MDMwOS4wIKXMDSoASAFQAw%3D%3D</t>
  </si>
  <si>
    <t>-34.590088, -58.395897</t>
  </si>
  <si>
    <t>https://www.google.com/maps?q=-34.59027099609375,-58.39567565917969&amp;z=17&amp;hl=es</t>
  </si>
  <si>
    <t>-34.590271, -58.395676</t>
  </si>
  <si>
    <t>https://www.google.com/maps?q=-34.588661193847656,-58.3914909362793&amp;z=17&amp;hl=es</t>
  </si>
  <si>
    <t>-34.588661, -58.391491</t>
  </si>
  <si>
    <t>https://www.google.com/maps/place/34%C2%B035'29.3%22S+58%C2%B023'17.5%22W/@-34.5914726,-58.3907776,17z/data=!3m1!4b1!4m4!3m3!8m2!3d-34.5914726!4d-58.3882027?hl=es&amp;entry=ttu&amp;g_ep=EgoyMDI2MDMwOS4wIKXMDSoASAFQAw%3D%3D</t>
  </si>
  <si>
    <t>-34.591473, -58.388203</t>
  </si>
  <si>
    <t>https://www.google.com/maps?q=-34.59214401245117,-58.38740539550781&amp;z=17&amp;hl=es</t>
  </si>
  <si>
    <t>-34.592144, -58.387405</t>
  </si>
  <si>
    <t>https://www.google.com/maps?q=-34.59281921386719,-58.38582229614258&amp;z=17&amp;hl=es</t>
  </si>
  <si>
    <t>-34.592819, -58.385822</t>
  </si>
  <si>
    <t>https://www.google.com/maps?q=-34.58927536010742,-58.38338088989258&amp;z=17&amp;hl=es</t>
  </si>
  <si>
    <t>-34.589275, -58.383381</t>
  </si>
  <si>
    <t>https://www.google.com/maps?q=-34.58884811401367,-58.383033752441406&amp;z=17&amp;hl=es</t>
  </si>
  <si>
    <t>-34.588848, -58.383034</t>
  </si>
  <si>
    <t>POINT(-58.394527 -34.589733)</t>
  </si>
  <si>
    <t>POINT(-58.394119 -34.589943)</t>
  </si>
  <si>
    <t>POINT(-58.393669 -34.590313)</t>
  </si>
  <si>
    <t>POINT(-58.393101 -34.590752)</t>
  </si>
  <si>
    <t>POINT(-58.392571 -34.591213)</t>
  </si>
  <si>
    <t>POINT(-58.391777 -34.592102)</t>
  </si>
  <si>
    <t>POINT(-58.391026 -34.592506)</t>
  </si>
  <si>
    <t>POINT(-58.392952 -34.590828)</t>
  </si>
  <si>
    <t>POINT(-58.390587 -34.591076)</t>
  </si>
  <si>
    <t>POINT(-58.390484 -34.591259)</t>
  </si>
  <si>
    <t>POINT(-58.389732 -34.591938)</t>
  </si>
  <si>
    <t>POINT(-58.387241 -34.587566)</t>
  </si>
  <si>
    <t>POINT(-58.384201 -34.591892)</t>
  </si>
  <si>
    <t>POINT(-58.384403 -34.592426)</t>
  </si>
  <si>
    <t>POINT(-58.384228 -34.587570)</t>
  </si>
  <si>
    <t>POINT(-58.385788 -34.587750)</t>
  </si>
  <si>
    <t>POINT(-58.388268 -34.590282)</t>
  </si>
  <si>
    <t>POINT(-58.389393 -34.591255)</t>
  </si>
  <si>
    <t>POINT(-58.392174 -34.592304)</t>
  </si>
  <si>
    <t>POINT(-58.386482 -34.586521)</t>
  </si>
  <si>
    <t>POINT(-58.387241 -34.585949)</t>
  </si>
  <si>
    <t>POINT(-58.395897 -34.590088)</t>
  </si>
  <si>
    <t>POINT(-58.395676 -34.590271)</t>
  </si>
  <si>
    <t>POINT(-58.391491 -34.588661)</t>
  </si>
  <si>
    <t>POINT(-58.388203 -34.591473)</t>
  </si>
  <si>
    <t>POINT(-58.387405 -34.592144)</t>
  </si>
  <si>
    <t>POINT(-58.385822 -34.592819)</t>
  </si>
  <si>
    <t>POINT(-58.383381 -34.589275)</t>
  </si>
  <si>
    <t>POINT(-58.383034 -34.588848)</t>
  </si>
  <si>
    <t>csp_0076</t>
  </si>
  <si>
    <t>csp_0077</t>
  </si>
  <si>
    <t>csp_0078</t>
  </si>
  <si>
    <t>csp_0079</t>
  </si>
  <si>
    <t>csp_0080</t>
  </si>
  <si>
    <t>csp_0081</t>
  </si>
  <si>
    <t>csp_0082</t>
  </si>
  <si>
    <t>csp_0083</t>
  </si>
  <si>
    <t>csp_0084</t>
  </si>
  <si>
    <t>csp_0085</t>
  </si>
  <si>
    <t>csp_0086</t>
  </si>
  <si>
    <t>csp_0087</t>
  </si>
  <si>
    <t>csp_0088</t>
  </si>
  <si>
    <t>csp_0089</t>
  </si>
  <si>
    <t>csp_0090</t>
  </si>
  <si>
    <t>csp_0091</t>
  </si>
  <si>
    <t>csp_0092</t>
  </si>
  <si>
    <t>csp_0093</t>
  </si>
  <si>
    <t>csp_0094</t>
  </si>
  <si>
    <t>csp_0095</t>
  </si>
  <si>
    <t>csp_0096</t>
  </si>
  <si>
    <t>csp_0097</t>
  </si>
  <si>
    <t>csp_0098</t>
  </si>
  <si>
    <t>csp_0099</t>
  </si>
  <si>
    <t>csp_0100</t>
  </si>
  <si>
    <t>csp_0101</t>
  </si>
  <si>
    <t>csp_0102</t>
  </si>
  <si>
    <t>csp_0103</t>
  </si>
  <si>
    <t>csp_0104</t>
  </si>
  <si>
    <t>csp_0105</t>
  </si>
  <si>
    <t>csp_0106</t>
  </si>
  <si>
    <t>ELIMINAR 1005 Y 1006</t>
  </si>
  <si>
    <t>MEDIANA 12/06/25 A 11/12/25</t>
  </si>
  <si>
    <t>https://www.google.com/maps/place/Marcelo+Torcuato+de+Alvear+1243,+C1058AAS+Cdad.+Aut%C3%B3noma+de+Buenos+Aires/@-34.5968983,-58.3850364,21z/data=!4m12!1m5!3m4!2zMzTCsDM1JzQ4LjQiUyA1OMKwMjMnMDUuNyJX!8m2!3d-34.5967751!4d-58.3849182!3m5!1s0x95bccab843ffe669:0xae79508bd3a18136!8m2!3d-34.5968551!4d-58.3848858!16s%2Fg%2F11c87kq9r3?hl=es&amp;entry=ttu&amp;g_ep=EgoyMDI2MDMxMS4wIKXMDSoASAFQAw%3D%3D</t>
  </si>
  <si>
    <t>POINT(-58.384884525667495 -34.59684306658751)</t>
  </si>
  <si>
    <t>POINT(-58.3858986436714 -34.59276756045055)</t>
  </si>
  <si>
    <t>https://www.google.com/maps/@-34.5927433,-58.3859499,21z?hl=es&amp;entry=ttu&amp;g_ep=EgoyMDI2MDMxMS4wIKXMDSoASAFQAw%3D%3D</t>
  </si>
  <si>
    <t>https://www.google.com/maps/@-34.5928081,-58.383655,21z?hl=es&amp;entry=ttu&amp;g_ep=EgoyMDI2MDMxMS4wIKXMDSoASAFQAw%3D%3D</t>
  </si>
  <si>
    <t>POINT(-58.383572137063965 -34.59277833763642)</t>
  </si>
  <si>
    <t>POINT(-58.39314941110279 -34.59060088690933)</t>
  </si>
  <si>
    <t>https://www.google.com/maps/@-34.5905887,-58.3932738,21z?hl=es&amp;entry=ttu&amp;g_ep=EgoyMDI2MDMxMS4wIKXMDSoASAFQAw%3D%3D</t>
  </si>
  <si>
    <t>POINT(-58.39462362708994 -34.589355170420546)</t>
  </si>
  <si>
    <t>https://www.google.com/maps/place/Carnicer%C3%ADa+Rub%C3%A9n/@-34.5895037,-58.394738,21z/data=!4m6!3m5!1s0x95bcca987766253f:0x9a08e33acc0fc017!8m2!3d-34.589303!4d-58.394544!16s%2Fg%2F11b6v4jlsn?hl=es&amp;entry=ttu&amp;g_ep=EgoyMDI2MDMxMS4wIKXMDSoASAFQAw%3D%3D</t>
  </si>
  <si>
    <t>POINT( -58.39491161951106 -34.593480469021166)</t>
  </si>
  <si>
    <t>https://www.google.com/maps/@-34.5934683,-58.3950078,21z?hl=es&amp;entry=ttu&amp;g_ep=EgoyMDI2MDMxMS4wIKXMDSoASAFQAw%3D%3D</t>
  </si>
  <si>
    <t>POINT(-58.39206286569123 -34.59404104867657)</t>
  </si>
  <si>
    <t>https://www.google.com/maps/@-34.5940444,-58.3920163,21z?hl=es&amp;entry=ttu&amp;g_ep=EgoyMDI2MDMxMS4wIKXMDSoASAFQAw%3D%3D</t>
  </si>
  <si>
    <t>POINT(-58.37937322983343 -34.5941396898721)</t>
  </si>
  <si>
    <t>https://www.google.com/maps/@-34.5940337,-58.3793313,21z?hl=es&amp;entry=ttu&amp;g_ep=EgoyMDI2MDMxMS4wIKXMDSoASAFQAw%3D%3D</t>
  </si>
  <si>
    <t>https://www.google.com/maps/@-34.5917245,-58.3792782,21z?hl=es&amp;entry=ttu&amp;g_ep=EgoyMDI2MDMxMS4wIKXMDSoASAFQAw%3D%3D</t>
  </si>
  <si>
    <t>POINT(-58.37935967209949 -34.59165991469645)</t>
  </si>
  <si>
    <t>POINT(-58.37905910670746 -34.5927824431818)</t>
  </si>
  <si>
    <t>https://www.google.com/maps/place/Juncal+833,+C1062ABE+Cdad.+Aut%C3%B3noma+de+Buenos+Aires/@-34.5928161,-58.3791828,21z/data=!4m6!3m5!1s0x95bccab6c10e43a7:0x9da6744281d0fbdb!8m2!3d-34.5927941!4d-58.3790592!16s%2Fg%2F11dfh48dx7?hl=es&amp;entry=ttu&amp;g_ep=EgoyMDI2MDMxMS4wIKXMDSoASAFQAw%3D%3D</t>
  </si>
  <si>
    <t>POINT(-58.376197216356985 -34.5928172847864)</t>
  </si>
  <si>
    <t>https://www.google.com/maps/@-34.5928267,-58.3763974,21z?hl=es&amp;entry=ttu&amp;g_ep=EgoyMDI2MDMxMS4wIKXMDSoASAFQAw%3D%3D</t>
  </si>
  <si>
    <t>POINT(-58.37869881477214 -34.5976081096709)</t>
  </si>
  <si>
    <t>https://www.google.com/maps/place/34%C2%B035'50.5%22S+58%C2%B022'44.1%22W/@-34.5975982,-58.3788232,21z/data=!4m4!3m3!8m2!3d-34.5973587!4d-58.3789177?hl=es&amp;entry=ttu&amp;g_ep=EgoyMDI2MDMxMS4wIKXMDSoASAFQAw%3D%3D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</si>
</sst>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b/>
      <sz val="8"/>
      <color theme="1"/>
      <name val="Calibri"/>
    </font>
    <font>
      <b/>
      <sz val="8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  <family val="2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/>
    <xf numFmtId="0" fontId="1" fillId="2" borderId="1" xfId="0" applyFont="1" applyFill="1" applyBorder="1" applyAlignment="1">
      <alignment horizontal="center" vertical="center" shrinkToFit="1"/>
    </xf>
    <xf numFmtId="0" fontId="4" fillId="0" borderId="0" xfId="1" applyAlignment="1">
      <alignment shrinkToFit="1"/>
    </xf>
    <xf numFmtId="0" fontId="0" fillId="0" borderId="0" xfId="0" applyAlignment="1">
      <alignment shrinkToFit="1"/>
    </xf>
    <xf numFmtId="0" fontId="0" fillId="4" borderId="0" xfId="0" applyFill="1"/>
    <xf numFmtId="21" fontId="0" fillId="0" borderId="0" xfId="0" applyNumberFormat="1"/>
    <xf numFmtId="0" fontId="5" fillId="2" borderId="1" xfId="0" applyFont="1" applyFill="1" applyBorder="1" applyAlignment="1">
      <alignment horizontal="center" vertical="center" wrapText="1"/>
    </xf>
    <xf numFmtId="14" fontId="0" fillId="0" borderId="0" xfId="0" applyNumberFormat="1"/>
    <xf numFmtId="14" fontId="5" fillId="2" borderId="1" xfId="0" applyNumberFormat="1" applyFont="1" applyFill="1" applyBorder="1" applyAlignment="1">
      <alignment horizontal="center" vertical="center" wrapText="1"/>
    </xf>
    <xf numFmtId="14" fontId="0" fillId="5" borderId="0" xfId="0" applyNumberFormat="1" applyFill="1"/>
    <xf numFmtId="0" fontId="0" fillId="5" borderId="0" xfId="0" applyFill="1"/>
    <xf numFmtId="0" fontId="0" fillId="5" borderId="0" xfId="0" applyFill="1" applyAlignment="1">
      <alignment shrinkToFit="1"/>
    </xf>
    <xf numFmtId="20" fontId="0" fillId="0" borderId="0" xfId="0" applyNumberFormat="1"/>
    <xf numFmtId="0" fontId="0" fillId="6" borderId="0" xfId="0" applyFill="1"/>
    <xf numFmtId="14" fontId="0" fillId="7" borderId="0" xfId="0" applyNumberFormat="1" applyFill="1"/>
    <xf numFmtId="0" fontId="0" fillId="8" borderId="0" xfId="0" applyFill="1"/>
    <xf numFmtId="2" fontId="0" fillId="0" borderId="0" xfId="0" applyNumberFormat="1"/>
    <xf numFmtId="2" fontId="0" fillId="3" borderId="0" xfId="0" applyNumberFormat="1" applyFill="1"/>
    <xf numFmtId="2" fontId="0" fillId="4" borderId="0" xfId="0" applyNumberForma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maps.google.com/maps?q=-34.58771896362305%2C-58.38430404663086&amp;z=17&amp;hl=es" TargetMode="External"/><Relationship Id="rId21" Type="http://schemas.openxmlformats.org/officeDocument/2006/relationships/hyperlink" Target="https://maps.google.com/maps?q=-34.5986896%2C-58.3797565&amp;z=17&amp;hl=es" TargetMode="External"/><Relationship Id="rId34" Type="http://schemas.openxmlformats.org/officeDocument/2006/relationships/hyperlink" Target="https://www.google.com/maps?q=-34.59343338012695,-58.39544677734375&amp;z=17&amp;hl=es" TargetMode="External"/><Relationship Id="rId42" Type="http://schemas.openxmlformats.org/officeDocument/2006/relationships/hyperlink" Target="https://www.google.com/maps?q=-34.5966682434082,-58.380836486816406&amp;z=17&amp;hl=es" TargetMode="External"/><Relationship Id="rId47" Type="http://schemas.openxmlformats.org/officeDocument/2006/relationships/hyperlink" Target="https://www.google.com/maps?q=-34.59523391723633,-58.39204406738281&amp;z=17&amp;hl=es" TargetMode="External"/><Relationship Id="rId50" Type="http://schemas.openxmlformats.org/officeDocument/2006/relationships/hyperlink" Target="https://www.google.com/maps?q=-34.59233474731445,-58.39065933227539&amp;z=17&amp;hl=es" TargetMode="External"/><Relationship Id="rId55" Type="http://schemas.openxmlformats.org/officeDocument/2006/relationships/hyperlink" Target="https://www.google.com/maps?q=-34.59187698364258,-58.39030838012695&amp;z=17&amp;hl=es" TargetMode="External"/><Relationship Id="rId63" Type="http://schemas.openxmlformats.org/officeDocument/2006/relationships/hyperlink" Target="https://maps.google.com/maps?q=-34.598236083984375%2C-58.376956939697266&amp;z=17&amp;hl=es" TargetMode="External"/><Relationship Id="rId7" Type="http://schemas.openxmlformats.org/officeDocument/2006/relationships/hyperlink" Target="https://maps.google.com/maps?q=-34.59626770019531%2C-58.37843322753906&amp;z=17&amp;hl=es" TargetMode="External"/><Relationship Id="rId2" Type="http://schemas.openxmlformats.org/officeDocument/2006/relationships/hyperlink" Target="https://maps.google.com/maps?q=-34.59996032714844%2C-58.37679672241211&amp;z=17&amp;hl=es" TargetMode="External"/><Relationship Id="rId16" Type="http://schemas.openxmlformats.org/officeDocument/2006/relationships/hyperlink" Target="https://maps.google.com/maps?q=-34.60324478149414%2C-58.3781623840332&amp;z=17&amp;hl=es" TargetMode="External"/><Relationship Id="rId29" Type="http://schemas.openxmlformats.org/officeDocument/2006/relationships/hyperlink" Target="https://maps.google.com/maps?q=-34.5875244140625%2C-58.38737106323242&amp;z=17&amp;hl=es" TargetMode="External"/><Relationship Id="rId11" Type="http://schemas.openxmlformats.org/officeDocument/2006/relationships/hyperlink" Target="https://maps.google.com/maps?q=-34.59750747680664%2C-58.3781852722168&amp;z=17&amp;hl=es" TargetMode="External"/><Relationship Id="rId24" Type="http://schemas.openxmlformats.org/officeDocument/2006/relationships/hyperlink" Target="https://maps.google.com/maps?q=-34.5971262%2C-58.3798431&amp;z=17&amp;hl=es" TargetMode="External"/><Relationship Id="rId32" Type="http://schemas.openxmlformats.org/officeDocument/2006/relationships/hyperlink" Target="https://www.google.com/maps?q=-34.595272064208984,-58.39004898071289&amp;z=17&amp;hl=es" TargetMode="External"/><Relationship Id="rId37" Type="http://schemas.openxmlformats.org/officeDocument/2006/relationships/hyperlink" Target="https://www.google.com/maps?q=-34.59281921386719,-58.38087463378906&amp;z=17&amp;hl=es" TargetMode="External"/><Relationship Id="rId40" Type="http://schemas.openxmlformats.org/officeDocument/2006/relationships/hyperlink" Target="https://www.google.com/maps?q=-34.595916748046875,-58.37848663330078&amp;z=17&amp;hl=es" TargetMode="External"/><Relationship Id="rId45" Type="http://schemas.openxmlformats.org/officeDocument/2006/relationships/hyperlink" Target="https://www.google.com/maps?q=-34.596981048583984,-58.391845703125&amp;z=17&amp;hl=es" TargetMode="External"/><Relationship Id="rId53" Type="http://schemas.openxmlformats.org/officeDocument/2006/relationships/hyperlink" Target="https://www.google.com/maps?q=-34.591915130615234,-58.39011001586914&amp;z=17&amp;hl=es" TargetMode="External"/><Relationship Id="rId58" Type="http://schemas.openxmlformats.org/officeDocument/2006/relationships/hyperlink" Target="https://www.google.com/maps?q=-34.59014892578125,-58.388126373291016&amp;z=17&amp;hl=es" TargetMode="External"/><Relationship Id="rId66" Type="http://schemas.openxmlformats.org/officeDocument/2006/relationships/hyperlink" Target="https://www.google.com/maps?q=-34.594486236572266,-58.381168365478516&amp;z=17&amp;hl=es" TargetMode="External"/><Relationship Id="rId5" Type="http://schemas.openxmlformats.org/officeDocument/2006/relationships/hyperlink" Target="https://maps.google.com/maps?q=-34.59733581542969%2C-58.37691879272461&amp;z=17&amp;hl=es" TargetMode="External"/><Relationship Id="rId61" Type="http://schemas.openxmlformats.org/officeDocument/2006/relationships/hyperlink" Target="https://www.google.com/maps?q=-34.59111022949219,-58.39280319213867&amp;z=17&amp;hl=es" TargetMode="External"/><Relationship Id="rId19" Type="http://schemas.openxmlformats.org/officeDocument/2006/relationships/hyperlink" Target="https://maps.google.com/maps?q=-34.599876403808594%2C-58.379634857177734&amp;z=17&amp;hl=es" TargetMode="External"/><Relationship Id="rId14" Type="http://schemas.openxmlformats.org/officeDocument/2006/relationships/hyperlink" Target="https://maps.google.com/maps?q=-34.60411071777344%2C-58.3782844543457&amp;z=17&amp;hl=es" TargetMode="External"/><Relationship Id="rId22" Type="http://schemas.openxmlformats.org/officeDocument/2006/relationships/hyperlink" Target="https://maps.google.com/maps?q=-34.598295%2C-58.3797894&amp;z=17&amp;hl=es" TargetMode="External"/><Relationship Id="rId27" Type="http://schemas.openxmlformats.org/officeDocument/2006/relationships/hyperlink" Target="https://maps.google.com/maps?q=-34.586002349853516%2C-58.387351989746094&amp;z=17&amp;hl=es" TargetMode="External"/><Relationship Id="rId30" Type="http://schemas.openxmlformats.org/officeDocument/2006/relationships/hyperlink" Target="https://maps.google.com/maps?q=-34.59185791015625%2C-58.378448486328125&amp;z=17&amp;hl=es" TargetMode="External"/><Relationship Id="rId35" Type="http://schemas.openxmlformats.org/officeDocument/2006/relationships/hyperlink" Target="https://www.google.com/maps?q=-34.594173431396484,-58.390567779541016&amp;z=17&amp;hl=es" TargetMode="External"/><Relationship Id="rId43" Type="http://schemas.openxmlformats.org/officeDocument/2006/relationships/hyperlink" Target="https://www.google.com/maps?q=-34.597015380859375,-58.386722564697266&amp;z=17&amp;hl=es" TargetMode="External"/><Relationship Id="rId48" Type="http://schemas.openxmlformats.org/officeDocument/2006/relationships/hyperlink" Target="https://maps.app.goo.gl/NnzZjF3J42cx8rry5" TargetMode="External"/><Relationship Id="rId56" Type="http://schemas.openxmlformats.org/officeDocument/2006/relationships/hyperlink" Target="https://www.google.com/maps?q=-34.591819763183594,-58.38996887207031&amp;z=17&amp;hl=es" TargetMode="External"/><Relationship Id="rId64" Type="http://schemas.openxmlformats.org/officeDocument/2006/relationships/hyperlink" Target="https://www.google.com/maps?q=-34.5941162109375,-58.37980270385742&amp;z=17&amp;hl=es" TargetMode="External"/><Relationship Id="rId8" Type="http://schemas.openxmlformats.org/officeDocument/2006/relationships/hyperlink" Target="https://maps.google.com/maps?q=-34.59589767456055%2C-58.37848663330078&amp;z=17&amp;hl=es" TargetMode="External"/><Relationship Id="rId51" Type="http://schemas.openxmlformats.org/officeDocument/2006/relationships/hyperlink" Target="https://www.google.com/maps?q=-34.59212875366211,-58.39039993286133&amp;z=17&amp;hl=es" TargetMode="External"/><Relationship Id="rId3" Type="http://schemas.openxmlformats.org/officeDocument/2006/relationships/hyperlink" Target="https://maps.google.com/maps?q=-34.599769592285156%2C-58.376834869384766&amp;z=17&amp;hl=es" TargetMode="External"/><Relationship Id="rId12" Type="http://schemas.openxmlformats.org/officeDocument/2006/relationships/hyperlink" Target="https://maps.google.com/maps?q=-34.59797668457031%2C-58.378299713134766&amp;z=17&amp;hl=es" TargetMode="External"/><Relationship Id="rId17" Type="http://schemas.openxmlformats.org/officeDocument/2006/relationships/hyperlink" Target="https://maps.google.com/maps?q=-34.601531982421875%2C-58.37953186035156&amp;z=17&amp;hl=es" TargetMode="External"/><Relationship Id="rId25" Type="http://schemas.openxmlformats.org/officeDocument/2006/relationships/hyperlink" Target="https://maps.google.com/maps?q=-34.59231185913086%2C-58.37621307373047&amp;z=17&amp;hl=es" TargetMode="External"/><Relationship Id="rId33" Type="http://schemas.openxmlformats.org/officeDocument/2006/relationships/hyperlink" Target="https://www.google.com/maps?q=-34.595726013183594,-58.39558029174805&amp;z=17&amp;hl=es" TargetMode="External"/><Relationship Id="rId38" Type="http://schemas.openxmlformats.org/officeDocument/2006/relationships/hyperlink" Target="https://www.google.com/maps?q=-34.59286880493164,-58.37950897216797&amp;z=17&amp;hl=es" TargetMode="External"/><Relationship Id="rId46" Type="http://schemas.openxmlformats.org/officeDocument/2006/relationships/hyperlink" Target="https://www.google.com/maps?q=-34.597049713134766,-58.3918571472168&amp;z=17&amp;hl=es" TargetMode="External"/><Relationship Id="rId59" Type="http://schemas.openxmlformats.org/officeDocument/2006/relationships/hyperlink" Target="https://www.google.com/maps?q=-34.592044830322266,-58.39152145385742&amp;z=17&amp;hl=es" TargetMode="External"/><Relationship Id="rId67" Type="http://schemas.openxmlformats.org/officeDocument/2006/relationships/printerSettings" Target="../printerSettings/printerSettings1.bin"/><Relationship Id="rId20" Type="http://schemas.openxmlformats.org/officeDocument/2006/relationships/hyperlink" Target="https://maps.google.com/maps?q=-34.59871292114258%2C-58.37973403930664&amp;z=17&amp;hl=es" TargetMode="External"/><Relationship Id="rId41" Type="http://schemas.openxmlformats.org/officeDocument/2006/relationships/hyperlink" Target="https://www.google.com/maps?q=-34.596309661865234,-58.37841796875&amp;z=17&amp;hl=es" TargetMode="External"/><Relationship Id="rId54" Type="http://schemas.openxmlformats.org/officeDocument/2006/relationships/hyperlink" Target="https://www.google.com/maps?q=-34.59193801879883,-58.3901481628418&amp;z=17&amp;hl=es" TargetMode="External"/><Relationship Id="rId62" Type="http://schemas.openxmlformats.org/officeDocument/2006/relationships/hyperlink" Target="https://www.google.com/maps?q=-34.59097671508789,-58.39504623413086&amp;z=17&amp;hl=es" TargetMode="External"/><Relationship Id="rId1" Type="http://schemas.openxmlformats.org/officeDocument/2006/relationships/hyperlink" Target="https://maps.google.com/maps?q=-34.59994888305664%2C-58.37699508666992&amp;z=17&amp;hl=es" TargetMode="External"/><Relationship Id="rId6" Type="http://schemas.openxmlformats.org/officeDocument/2006/relationships/hyperlink" Target="https://maps.google.com/maps?q=-34.596309661865234%2C-58.37836837768555&amp;z=17&amp;hl=es" TargetMode="External"/><Relationship Id="rId15" Type="http://schemas.openxmlformats.org/officeDocument/2006/relationships/hyperlink" Target="https://maps.google.com/maps?q=-34.60270690917969%2C-58.37809371948242&amp;z=17&amp;hl=es" TargetMode="External"/><Relationship Id="rId23" Type="http://schemas.openxmlformats.org/officeDocument/2006/relationships/hyperlink" Target="https://maps.google.com/maps?q=-34.5980989%2C-58.3797356&amp;z=17&amp;hl=es" TargetMode="External"/><Relationship Id="rId28" Type="http://schemas.openxmlformats.org/officeDocument/2006/relationships/hyperlink" Target="https://maps.google.com/maps?q=-34.585933685302734%2C-58.387969970703125&amp;z=17&amp;hl=es" TargetMode="External"/><Relationship Id="rId36" Type="http://schemas.openxmlformats.org/officeDocument/2006/relationships/hyperlink" Target="https://www.google.com/maps?q=-34.5927619934082,-58.383609771728516&amp;z=17&amp;hl=es" TargetMode="External"/><Relationship Id="rId49" Type="http://schemas.openxmlformats.org/officeDocument/2006/relationships/hyperlink" Target="https://www.google.com/maps?q=-34.59260940551758,-58.39096450805664&amp;z=17&amp;hl=es" TargetMode="External"/><Relationship Id="rId57" Type="http://schemas.openxmlformats.org/officeDocument/2006/relationships/hyperlink" Target="https://www.google.com/maps?q=-34.591373443603516,-58.389549255371094&amp;z=17&amp;hl=es" TargetMode="External"/><Relationship Id="rId10" Type="http://schemas.openxmlformats.org/officeDocument/2006/relationships/hyperlink" Target="https://maps.google.com/maps?q=-34.59672546386719%2C-58.37849044799805&amp;z=17&amp;hl=es" TargetMode="External"/><Relationship Id="rId31" Type="http://schemas.openxmlformats.org/officeDocument/2006/relationships/hyperlink" Target="https://www.google.com/maps?q=-34.594242095947266,-58.38105392456055&amp;z=17&amp;hl=es" TargetMode="External"/><Relationship Id="rId44" Type="http://schemas.openxmlformats.org/officeDocument/2006/relationships/hyperlink" Target="https://www.google.com/maps?q=-34.597110748291016,-58.38776779174805&amp;z=17&amp;hl=es" TargetMode="External"/><Relationship Id="rId52" Type="http://schemas.openxmlformats.org/officeDocument/2006/relationships/hyperlink" Target="https://www.google.com/maps?q=-34.59202194213867,-58.39025115966797&amp;z=17&amp;hl=es" TargetMode="External"/><Relationship Id="rId60" Type="http://schemas.openxmlformats.org/officeDocument/2006/relationships/hyperlink" Target="https://www.google.com/maps?q=-34.59115219116211,-58.39268493652344&amp;z=17&amp;hl=es" TargetMode="External"/><Relationship Id="rId65" Type="http://schemas.openxmlformats.org/officeDocument/2006/relationships/hyperlink" Target="https://www.google.com/maps?q=-34.59412384033203,-58.37968444824219&amp;z=17&amp;hl=es" TargetMode="External"/><Relationship Id="rId4" Type="http://schemas.openxmlformats.org/officeDocument/2006/relationships/hyperlink" Target="https://maps.google.com/maps?q=-34.59791946411133%2C-58.37689971923828&amp;z=17&amp;hl=es" TargetMode="External"/><Relationship Id="rId9" Type="http://schemas.openxmlformats.org/officeDocument/2006/relationships/hyperlink" Target="https://maps.google.com/maps?q=-34.5966682434082%2C-58.37837600708008&amp;z=17&amp;hl=es" TargetMode="External"/><Relationship Id="rId13" Type="http://schemas.openxmlformats.org/officeDocument/2006/relationships/hyperlink" Target="https://maps.google.com/maps?q=-34.598628997802734%2C-58.37840270996094&amp;z=17&amp;hl=es" TargetMode="External"/><Relationship Id="rId18" Type="http://schemas.openxmlformats.org/officeDocument/2006/relationships/hyperlink" Target="https://maps.google.com/maps?q=-34.599891662597656%2C-58.37984848022461&amp;z=17&amp;hl=es" TargetMode="External"/><Relationship Id="rId39" Type="http://schemas.openxmlformats.org/officeDocument/2006/relationships/hyperlink" Target="https://www.google.com/maps?q=-34.592735290527344,-58.37911605834961&amp;z=17&amp;hl=es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maps.google.com/maps?q=-34.598628997802734%2C-58.37840270996094&amp;z=17&amp;hl=es" TargetMode="External"/><Relationship Id="rId18" Type="http://schemas.openxmlformats.org/officeDocument/2006/relationships/hyperlink" Target="https://maps.google.com/maps?q=-34.599891662597656%2C-58.37984848022461&amp;z=17&amp;hl=es" TargetMode="External"/><Relationship Id="rId26" Type="http://schemas.openxmlformats.org/officeDocument/2006/relationships/hyperlink" Target="https://maps.google.com/maps?q=-34.58771896362305%2C-58.38430404663086&amp;z=17&amp;hl=es" TargetMode="External"/><Relationship Id="rId39" Type="http://schemas.openxmlformats.org/officeDocument/2006/relationships/hyperlink" Target="https://www.google.com/maps?q=-34.596309661865234,-58.37841796875&amp;z=17&amp;hl=es" TargetMode="External"/><Relationship Id="rId21" Type="http://schemas.openxmlformats.org/officeDocument/2006/relationships/hyperlink" Target="https://maps.google.com/maps?q=-34.5986896%2C-58.3797565&amp;z=17&amp;hl=es" TargetMode="External"/><Relationship Id="rId34" Type="http://schemas.openxmlformats.org/officeDocument/2006/relationships/hyperlink" Target="https://www.google.com/maps?q=-34.59343338012695,-58.39544677734375&amp;z=17&amp;hl=es" TargetMode="External"/><Relationship Id="rId42" Type="http://schemas.openxmlformats.org/officeDocument/2006/relationships/hyperlink" Target="https://www.google.com/maps?q=-34.597110748291016,-58.38776779174805&amp;z=17&amp;hl=es" TargetMode="External"/><Relationship Id="rId47" Type="http://schemas.openxmlformats.org/officeDocument/2006/relationships/hyperlink" Target="https://www.google.com/maps?q=-34.59260940551758,-58.39096450805664&amp;z=17&amp;hl=es" TargetMode="External"/><Relationship Id="rId50" Type="http://schemas.openxmlformats.org/officeDocument/2006/relationships/hyperlink" Target="https://www.google.com/maps?q=-34.59202194213867,-58.39025115966797&amp;z=17&amp;hl=es" TargetMode="External"/><Relationship Id="rId55" Type="http://schemas.openxmlformats.org/officeDocument/2006/relationships/hyperlink" Target="https://www.google.com/maps?q=-34.591373443603516,-58.389549255371094&amp;z=17&amp;hl=es" TargetMode="External"/><Relationship Id="rId63" Type="http://schemas.openxmlformats.org/officeDocument/2006/relationships/hyperlink" Target="https://www.google.com/maps?q=-34.59412384033203,-58.37968444824219&amp;z=17&amp;hl=es" TargetMode="External"/><Relationship Id="rId7" Type="http://schemas.openxmlformats.org/officeDocument/2006/relationships/hyperlink" Target="https://maps.google.com/maps?q=-34.59626770019531%2C-58.37843322753906&amp;z=17&amp;hl=es" TargetMode="External"/><Relationship Id="rId2" Type="http://schemas.openxmlformats.org/officeDocument/2006/relationships/hyperlink" Target="https://maps.google.com/maps?q=-34.59996032714844%2C-58.37679672241211&amp;z=17&amp;hl=es" TargetMode="External"/><Relationship Id="rId16" Type="http://schemas.openxmlformats.org/officeDocument/2006/relationships/hyperlink" Target="https://maps.google.com/maps?q=-34.60324478149414%2C-58.3781623840332&amp;z=17&amp;hl=es" TargetMode="External"/><Relationship Id="rId29" Type="http://schemas.openxmlformats.org/officeDocument/2006/relationships/hyperlink" Target="https://maps.google.com/maps?q=-34.5875244140625%2C-58.38737106323242&amp;z=17&amp;hl=es" TargetMode="External"/><Relationship Id="rId11" Type="http://schemas.openxmlformats.org/officeDocument/2006/relationships/hyperlink" Target="https://maps.google.com/maps?q=-34.59750747680664%2C-58.3781852722168&amp;z=17&amp;hl=es" TargetMode="External"/><Relationship Id="rId24" Type="http://schemas.openxmlformats.org/officeDocument/2006/relationships/hyperlink" Target="https://maps.google.com/maps?q=-34.5971262%2C-58.3798431&amp;z=17&amp;hl=es" TargetMode="External"/><Relationship Id="rId32" Type="http://schemas.openxmlformats.org/officeDocument/2006/relationships/hyperlink" Target="https://www.google.com/maps?q=-34.595272064208984,-58.39004898071289&amp;z=17&amp;hl=es" TargetMode="External"/><Relationship Id="rId37" Type="http://schemas.openxmlformats.org/officeDocument/2006/relationships/hyperlink" Target="https://www.google.com/maps?q=-34.59286880493164,-58.37950897216797&amp;z=17&amp;hl=es" TargetMode="External"/><Relationship Id="rId40" Type="http://schemas.openxmlformats.org/officeDocument/2006/relationships/hyperlink" Target="https://www.google.com/maps?q=-34.5966682434082,-58.380836486816406&amp;z=17&amp;hl=es" TargetMode="External"/><Relationship Id="rId45" Type="http://schemas.openxmlformats.org/officeDocument/2006/relationships/hyperlink" Target="https://www.google.com/maps?q=-34.59523391723633,-58.39204406738281&amp;z=17&amp;hl=es" TargetMode="External"/><Relationship Id="rId53" Type="http://schemas.openxmlformats.org/officeDocument/2006/relationships/hyperlink" Target="https://www.google.com/maps?q=-34.59187698364258,-58.39030838012695&amp;z=17&amp;hl=es" TargetMode="External"/><Relationship Id="rId58" Type="http://schemas.openxmlformats.org/officeDocument/2006/relationships/hyperlink" Target="https://www.google.com/maps?q=-34.59115219116211,-58.39268493652344&amp;z=17&amp;hl=es" TargetMode="External"/><Relationship Id="rId5" Type="http://schemas.openxmlformats.org/officeDocument/2006/relationships/hyperlink" Target="https://maps.google.com/maps?q=-34.59733581542969%2C-58.37691879272461&amp;z=17&amp;hl=es" TargetMode="External"/><Relationship Id="rId61" Type="http://schemas.openxmlformats.org/officeDocument/2006/relationships/hyperlink" Target="https://maps.google.com/maps?q=-34.598236083984375%2C-58.376956939697266&amp;z=17&amp;hl=es" TargetMode="External"/><Relationship Id="rId19" Type="http://schemas.openxmlformats.org/officeDocument/2006/relationships/hyperlink" Target="https://maps.google.com/maps?q=-34.599876403808594%2C-58.379634857177734&amp;z=17&amp;hl=es" TargetMode="External"/><Relationship Id="rId14" Type="http://schemas.openxmlformats.org/officeDocument/2006/relationships/hyperlink" Target="https://maps.google.com/maps?q=-34.60411071777344%2C-58.3782844543457&amp;z=17&amp;hl=es" TargetMode="External"/><Relationship Id="rId22" Type="http://schemas.openxmlformats.org/officeDocument/2006/relationships/hyperlink" Target="https://maps.google.com/maps?q=-34.598295%2C-58.3797894&amp;z=17&amp;hl=es" TargetMode="External"/><Relationship Id="rId27" Type="http://schemas.openxmlformats.org/officeDocument/2006/relationships/hyperlink" Target="https://maps.google.com/maps?q=-34.586002349853516%2C-58.387351989746094&amp;z=17&amp;hl=es" TargetMode="External"/><Relationship Id="rId30" Type="http://schemas.openxmlformats.org/officeDocument/2006/relationships/hyperlink" Target="https://maps.google.com/maps?q=-34.59185791015625%2C-58.378448486328125&amp;z=17&amp;hl=es" TargetMode="External"/><Relationship Id="rId35" Type="http://schemas.openxmlformats.org/officeDocument/2006/relationships/hyperlink" Target="https://www.google.com/maps?q=-34.594173431396484,-58.390567779541016&amp;z=17&amp;hl=es" TargetMode="External"/><Relationship Id="rId43" Type="http://schemas.openxmlformats.org/officeDocument/2006/relationships/hyperlink" Target="https://www.google.com/maps?q=-34.596981048583984,-58.391845703125&amp;z=17&amp;hl=es" TargetMode="External"/><Relationship Id="rId48" Type="http://schemas.openxmlformats.org/officeDocument/2006/relationships/hyperlink" Target="https://www.google.com/maps?q=-34.59233474731445,-58.39065933227539&amp;z=17&amp;hl=es" TargetMode="External"/><Relationship Id="rId56" Type="http://schemas.openxmlformats.org/officeDocument/2006/relationships/hyperlink" Target="https://www.google.com/maps?q=-34.59014892578125,-58.388126373291016&amp;z=17&amp;hl=es" TargetMode="External"/><Relationship Id="rId64" Type="http://schemas.openxmlformats.org/officeDocument/2006/relationships/hyperlink" Target="https://www.google.com/maps?q=-34.594486236572266,-58.381168365478516&amp;z=17&amp;hl=es" TargetMode="External"/><Relationship Id="rId8" Type="http://schemas.openxmlformats.org/officeDocument/2006/relationships/hyperlink" Target="https://maps.google.com/maps?q=-34.59589767456055%2C-58.37848663330078&amp;z=17&amp;hl=es" TargetMode="External"/><Relationship Id="rId51" Type="http://schemas.openxmlformats.org/officeDocument/2006/relationships/hyperlink" Target="https://www.google.com/maps?q=-34.591915130615234,-58.39011001586914&amp;z=17&amp;hl=es" TargetMode="External"/><Relationship Id="rId3" Type="http://schemas.openxmlformats.org/officeDocument/2006/relationships/hyperlink" Target="https://maps.google.com/maps?q=-34.599769592285156%2C-58.376834869384766&amp;z=17&amp;hl=es" TargetMode="External"/><Relationship Id="rId12" Type="http://schemas.openxmlformats.org/officeDocument/2006/relationships/hyperlink" Target="https://maps.google.com/maps?q=-34.59797668457031%2C-58.378299713134766&amp;z=17&amp;hl=es" TargetMode="External"/><Relationship Id="rId17" Type="http://schemas.openxmlformats.org/officeDocument/2006/relationships/hyperlink" Target="https://maps.google.com/maps?q=-34.601531982421875%2C-58.37953186035156&amp;z=17&amp;hl=es" TargetMode="External"/><Relationship Id="rId25" Type="http://schemas.openxmlformats.org/officeDocument/2006/relationships/hyperlink" Target="https://maps.google.com/maps?q=-34.59231185913086%2C-58.37621307373047&amp;z=17&amp;hl=es" TargetMode="External"/><Relationship Id="rId33" Type="http://schemas.openxmlformats.org/officeDocument/2006/relationships/hyperlink" Target="https://www.google.com/maps?q=-34.595726013183594,-58.39558029174805&amp;z=17&amp;hl=es" TargetMode="External"/><Relationship Id="rId38" Type="http://schemas.openxmlformats.org/officeDocument/2006/relationships/hyperlink" Target="https://www.google.com/maps?q=-34.595916748046875,-58.37848663330078&amp;z=17&amp;hl=es" TargetMode="External"/><Relationship Id="rId46" Type="http://schemas.openxmlformats.org/officeDocument/2006/relationships/hyperlink" Target="https://maps.app.goo.gl/NnzZjF3J42cx8rry5" TargetMode="External"/><Relationship Id="rId59" Type="http://schemas.openxmlformats.org/officeDocument/2006/relationships/hyperlink" Target="https://www.google.com/maps?q=-34.59111022949219,-58.39280319213867&amp;z=17&amp;hl=es" TargetMode="External"/><Relationship Id="rId20" Type="http://schemas.openxmlformats.org/officeDocument/2006/relationships/hyperlink" Target="https://maps.google.com/maps?q=-34.59871292114258%2C-58.37973403930664&amp;z=17&amp;hl=es" TargetMode="External"/><Relationship Id="rId41" Type="http://schemas.openxmlformats.org/officeDocument/2006/relationships/hyperlink" Target="https://www.google.com/maps?q=-34.597015380859375,-58.386722564697266&amp;z=17&amp;hl=es" TargetMode="External"/><Relationship Id="rId54" Type="http://schemas.openxmlformats.org/officeDocument/2006/relationships/hyperlink" Target="https://www.google.com/maps?q=-34.591819763183594,-58.38996887207031&amp;z=17&amp;hl=es" TargetMode="External"/><Relationship Id="rId62" Type="http://schemas.openxmlformats.org/officeDocument/2006/relationships/hyperlink" Target="https://www.google.com/maps?q=-34.5941162109375,-58.37980270385742&amp;z=17&amp;hl=es" TargetMode="External"/><Relationship Id="rId1" Type="http://schemas.openxmlformats.org/officeDocument/2006/relationships/hyperlink" Target="https://maps.google.com/maps?q=-34.59994888305664%2C-58.37699508666992&amp;z=17&amp;hl=es" TargetMode="External"/><Relationship Id="rId6" Type="http://schemas.openxmlformats.org/officeDocument/2006/relationships/hyperlink" Target="https://maps.google.com/maps?q=-34.596309661865234%2C-58.37836837768555&amp;z=17&amp;hl=es" TargetMode="External"/><Relationship Id="rId15" Type="http://schemas.openxmlformats.org/officeDocument/2006/relationships/hyperlink" Target="https://maps.google.com/maps?q=-34.60270690917969%2C-58.37809371948242&amp;z=17&amp;hl=es" TargetMode="External"/><Relationship Id="rId23" Type="http://schemas.openxmlformats.org/officeDocument/2006/relationships/hyperlink" Target="https://maps.google.com/maps?q=-34.5980989%2C-58.3797356&amp;z=17&amp;hl=es" TargetMode="External"/><Relationship Id="rId28" Type="http://schemas.openxmlformats.org/officeDocument/2006/relationships/hyperlink" Target="https://maps.google.com/maps?q=-34.585933685302734%2C-58.387969970703125&amp;z=17&amp;hl=es" TargetMode="External"/><Relationship Id="rId36" Type="http://schemas.openxmlformats.org/officeDocument/2006/relationships/hyperlink" Target="https://www.google.com/maps?q=-34.59281921386719,-58.38087463378906&amp;z=17&amp;hl=es" TargetMode="External"/><Relationship Id="rId49" Type="http://schemas.openxmlformats.org/officeDocument/2006/relationships/hyperlink" Target="https://www.google.com/maps?q=-34.59212875366211,-58.39039993286133&amp;z=17&amp;hl=es" TargetMode="External"/><Relationship Id="rId57" Type="http://schemas.openxmlformats.org/officeDocument/2006/relationships/hyperlink" Target="https://www.google.com/maps?q=-34.592044830322266,-58.39152145385742&amp;z=17&amp;hl=es" TargetMode="External"/><Relationship Id="rId10" Type="http://schemas.openxmlformats.org/officeDocument/2006/relationships/hyperlink" Target="https://maps.google.com/maps?q=-34.59672546386719%2C-58.37849044799805&amp;z=17&amp;hl=es" TargetMode="External"/><Relationship Id="rId31" Type="http://schemas.openxmlformats.org/officeDocument/2006/relationships/hyperlink" Target="https://www.google.com/maps?q=-34.594242095947266,-58.38105392456055&amp;z=17&amp;hl=es" TargetMode="External"/><Relationship Id="rId44" Type="http://schemas.openxmlformats.org/officeDocument/2006/relationships/hyperlink" Target="https://www.google.com/maps?q=-34.597049713134766,-58.3918571472168&amp;z=17&amp;hl=es" TargetMode="External"/><Relationship Id="rId52" Type="http://schemas.openxmlformats.org/officeDocument/2006/relationships/hyperlink" Target="https://www.google.com/maps?q=-34.59193801879883,-58.3901481628418&amp;z=17&amp;hl=es" TargetMode="External"/><Relationship Id="rId60" Type="http://schemas.openxmlformats.org/officeDocument/2006/relationships/hyperlink" Target="https://www.google.com/maps?q=-34.59097671508789,-58.39504623413086&amp;z=17&amp;hl=es" TargetMode="External"/><Relationship Id="rId4" Type="http://schemas.openxmlformats.org/officeDocument/2006/relationships/hyperlink" Target="https://maps.google.com/maps?q=-34.59791946411133%2C-58.37689971923828&amp;z=17&amp;hl=es" TargetMode="External"/><Relationship Id="rId9" Type="http://schemas.openxmlformats.org/officeDocument/2006/relationships/hyperlink" Target="https://maps.google.com/maps?q=-34.5966682434082%2C-58.37837600708008&amp;z=17&amp;hl=es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?q=-34.592796325683594,-58.385894775390625&amp;z=17&amp;hl=es" TargetMode="External"/><Relationship Id="rId3" Type="http://schemas.openxmlformats.org/officeDocument/2006/relationships/hyperlink" Target="https://maps.google.com/maps?q=-34.5875244140625%2C-58.38737106323242&amp;z=17&amp;hl=es" TargetMode="External"/><Relationship Id="rId7" Type="http://schemas.openxmlformats.org/officeDocument/2006/relationships/hyperlink" Target="https://www.google.com/maps?q=-34.59111022949219,-58.39280319213867&amp;z=17&amp;hl=es" TargetMode="External"/><Relationship Id="rId2" Type="http://schemas.openxmlformats.org/officeDocument/2006/relationships/hyperlink" Target="https://maps.google.com/maps?q=-34.58771896362305%2C-58.38430404663086&amp;z=17&amp;hl=es" TargetMode="External"/><Relationship Id="rId1" Type="http://schemas.openxmlformats.org/officeDocument/2006/relationships/hyperlink" Target="https://maps.google.com/maps?q=-34.586002349853516%2C-58.387351989746094&amp;z=17&amp;hl=es" TargetMode="External"/><Relationship Id="rId6" Type="http://schemas.openxmlformats.org/officeDocument/2006/relationships/hyperlink" Target="https://www.google.com/maps?q=-34.59115219116211,-58.39268493652344&amp;z=17&amp;hl=es" TargetMode="External"/><Relationship Id="rId5" Type="http://schemas.openxmlformats.org/officeDocument/2006/relationships/hyperlink" Target="https://www.google.com/maps?q=-34.592044830322266,-58.39152145385742&amp;z=17&amp;hl=es" TargetMode="External"/><Relationship Id="rId4" Type="http://schemas.openxmlformats.org/officeDocument/2006/relationships/hyperlink" Target="https://www.google.com/maps?q=-34.591373443603516,-58.389549255371094&amp;z=17&amp;hl=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AF057-C611-418A-9597-BCAE41466596}">
  <dimension ref="A1:AB110"/>
  <sheetViews>
    <sheetView tabSelected="1" topLeftCell="A59" workbookViewId="0">
      <selection activeCell="A72" sqref="A72"/>
    </sheetView>
  </sheetViews>
  <sheetFormatPr baseColWidth="10" defaultColWidth="0" defaultRowHeight="14.6" x14ac:dyDescent="0.4"/>
  <cols>
    <col min="1" max="1" width="12" style="12" bestFit="1" customWidth="1"/>
    <col min="2" max="2" width="11.3828125" customWidth="1"/>
    <col min="3" max="3" width="8.53515625" bestFit="1" customWidth="1"/>
    <col min="4" max="4" width="10.53515625" style="8" customWidth="1"/>
    <col min="5" max="9" width="1.69140625" customWidth="1"/>
    <col min="10" max="10" width="11.3046875" customWidth="1"/>
    <col min="11" max="16" width="11.07421875" customWidth="1"/>
    <col min="17" max="17" width="9.53515625" customWidth="1"/>
    <col min="18" max="21" width="1.4609375" customWidth="1"/>
    <col min="22" max="22" width="5" bestFit="1" customWidth="1"/>
    <col min="23" max="23" width="6.07421875" bestFit="1" customWidth="1"/>
    <col min="24" max="24" width="6.07421875" customWidth="1"/>
    <col min="25" max="25" width="44.23046875" bestFit="1" customWidth="1"/>
    <col min="26" max="26" width="11.07421875" customWidth="1"/>
    <col min="27" max="28" width="0" hidden="1" customWidth="1"/>
    <col min="29" max="16384" width="11.07421875" hidden="1"/>
  </cols>
  <sheetData>
    <row r="1" spans="1:26" s="4" customFormat="1" ht="40.5" customHeight="1" x14ac:dyDescent="0.4">
      <c r="A1" s="13" t="s">
        <v>99</v>
      </c>
      <c r="B1" s="11" t="s">
        <v>53</v>
      </c>
      <c r="C1" s="11" t="s">
        <v>241</v>
      </c>
      <c r="D1" s="6" t="s">
        <v>18</v>
      </c>
      <c r="E1" s="1" t="s">
        <v>242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244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245</v>
      </c>
      <c r="W1" s="3" t="s">
        <v>15</v>
      </c>
      <c r="X1" s="3" t="s">
        <v>260</v>
      </c>
      <c r="Y1" s="3" t="s">
        <v>238</v>
      </c>
      <c r="Z1" s="3" t="s">
        <v>16</v>
      </c>
    </row>
    <row r="2" spans="1:26" x14ac:dyDescent="0.4">
      <c r="A2" s="12">
        <v>45818.952777777777</v>
      </c>
      <c r="B2" s="10">
        <v>0.95277777777777772</v>
      </c>
      <c r="C2" s="10" t="s">
        <v>163</v>
      </c>
      <c r="D2" s="7" t="s">
        <v>17</v>
      </c>
      <c r="J2" t="s">
        <v>20</v>
      </c>
      <c r="K2" s="21">
        <v>1485</v>
      </c>
      <c r="L2" s="21">
        <v>749</v>
      </c>
      <c r="M2" s="21">
        <v>1050</v>
      </c>
      <c r="N2" s="21">
        <v>1690</v>
      </c>
      <c r="O2" s="21">
        <v>1490</v>
      </c>
      <c r="P2" s="21">
        <v>1790</v>
      </c>
      <c r="Q2" s="22"/>
      <c r="V2" t="s">
        <v>25</v>
      </c>
      <c r="W2" t="s">
        <v>25</v>
      </c>
      <c r="X2">
        <v>1</v>
      </c>
      <c r="Y2" t="s">
        <v>100</v>
      </c>
    </row>
    <row r="3" spans="1:26" x14ac:dyDescent="0.4">
      <c r="A3" s="12">
        <v>45818.954861111109</v>
      </c>
      <c r="B3" s="10">
        <v>0.95486111111111116</v>
      </c>
      <c r="C3" s="10" t="s">
        <v>164</v>
      </c>
      <c r="D3" s="7" t="s">
        <v>19</v>
      </c>
      <c r="J3" t="s">
        <v>21</v>
      </c>
      <c r="K3" s="21"/>
      <c r="L3" s="21"/>
      <c r="M3" s="21"/>
      <c r="N3" s="21"/>
      <c r="O3" s="21"/>
      <c r="P3" s="21"/>
      <c r="Q3" s="21">
        <v>5450</v>
      </c>
      <c r="V3" t="s">
        <v>25</v>
      </c>
      <c r="W3" t="s">
        <v>25</v>
      </c>
      <c r="X3">
        <v>1</v>
      </c>
      <c r="Y3" t="s">
        <v>101</v>
      </c>
    </row>
    <row r="4" spans="1:26" x14ac:dyDescent="0.4">
      <c r="A4" s="12">
        <v>45818.956250000003</v>
      </c>
      <c r="B4" s="10">
        <v>0.95625000000000004</v>
      </c>
      <c r="C4" s="10" t="s">
        <v>165</v>
      </c>
      <c r="D4" s="7" t="s">
        <v>22</v>
      </c>
      <c r="J4" t="s">
        <v>47</v>
      </c>
      <c r="K4" s="21"/>
      <c r="L4" s="21"/>
      <c r="M4" s="21"/>
      <c r="N4" s="21">
        <v>1800</v>
      </c>
      <c r="O4" s="21">
        <v>750</v>
      </c>
      <c r="P4" s="21">
        <v>1500</v>
      </c>
      <c r="Q4" s="21"/>
      <c r="V4" t="s">
        <v>26</v>
      </c>
      <c r="W4" t="s">
        <v>25</v>
      </c>
      <c r="X4">
        <v>1</v>
      </c>
      <c r="Y4" t="s">
        <v>116</v>
      </c>
    </row>
    <row r="5" spans="1:26" x14ac:dyDescent="0.4">
      <c r="A5" s="12">
        <v>45818.958333333336</v>
      </c>
      <c r="B5" s="10">
        <v>0.95833333333333337</v>
      </c>
      <c r="C5" s="10" t="s">
        <v>166</v>
      </c>
      <c r="D5" s="7" t="s">
        <v>23</v>
      </c>
      <c r="J5" t="s">
        <v>24</v>
      </c>
      <c r="K5" s="21">
        <v>1300</v>
      </c>
      <c r="L5" s="21">
        <v>800</v>
      </c>
      <c r="M5" s="21">
        <v>900</v>
      </c>
      <c r="N5" s="21">
        <v>1400</v>
      </c>
      <c r="O5" s="21"/>
      <c r="P5" s="21">
        <v>1200</v>
      </c>
      <c r="Q5" s="21"/>
      <c r="V5" t="s">
        <v>26</v>
      </c>
      <c r="W5" t="s">
        <v>25</v>
      </c>
      <c r="X5">
        <v>1</v>
      </c>
      <c r="Y5" t="s">
        <v>117</v>
      </c>
    </row>
    <row r="6" spans="1:26" x14ac:dyDescent="0.4">
      <c r="A6" s="12">
        <v>45818.960416666669</v>
      </c>
      <c r="B6" s="10">
        <v>0.9604166666666667</v>
      </c>
      <c r="C6" s="10" t="s">
        <v>167</v>
      </c>
      <c r="D6" s="7" t="s">
        <v>27</v>
      </c>
      <c r="J6" t="s">
        <v>28</v>
      </c>
      <c r="K6" s="21"/>
      <c r="L6" s="21"/>
      <c r="M6" s="21"/>
      <c r="N6" s="21"/>
      <c r="O6" s="21"/>
      <c r="P6" s="21">
        <v>1950</v>
      </c>
      <c r="Q6" s="21"/>
      <c r="V6" t="s">
        <v>25</v>
      </c>
      <c r="W6" t="s">
        <v>25</v>
      </c>
      <c r="X6">
        <v>1</v>
      </c>
      <c r="Y6" t="s">
        <v>118</v>
      </c>
    </row>
    <row r="7" spans="1:26" x14ac:dyDescent="0.4">
      <c r="A7" s="12">
        <v>45818.961111111108</v>
      </c>
      <c r="B7" s="10">
        <v>0.96111111111111114</v>
      </c>
      <c r="C7" s="10" t="s">
        <v>168</v>
      </c>
      <c r="D7" s="7" t="s">
        <v>29</v>
      </c>
      <c r="J7" t="s">
        <v>20</v>
      </c>
      <c r="K7" s="21">
        <v>1290</v>
      </c>
      <c r="L7" s="21">
        <v>749</v>
      </c>
      <c r="M7" s="21">
        <v>949</v>
      </c>
      <c r="N7" s="21">
        <v>1400</v>
      </c>
      <c r="O7" s="21">
        <v>1490</v>
      </c>
      <c r="P7" s="21">
        <v>1790</v>
      </c>
      <c r="Q7" s="22"/>
      <c r="V7" t="s">
        <v>25</v>
      </c>
      <c r="W7" t="s">
        <v>25</v>
      </c>
      <c r="X7">
        <v>1</v>
      </c>
      <c r="Y7" t="s">
        <v>119</v>
      </c>
    </row>
    <row r="8" spans="1:26" x14ac:dyDescent="0.4">
      <c r="A8" s="12">
        <v>45818.96597222222</v>
      </c>
      <c r="B8" s="10">
        <v>0.96597222222222223</v>
      </c>
      <c r="C8" s="10" t="s">
        <v>169</v>
      </c>
      <c r="D8" s="7" t="s">
        <v>30</v>
      </c>
      <c r="J8" t="s">
        <v>21</v>
      </c>
      <c r="K8" s="21"/>
      <c r="L8" s="21"/>
      <c r="M8" s="21"/>
      <c r="N8" s="21"/>
      <c r="O8" s="21"/>
      <c r="P8" s="21"/>
      <c r="Q8" s="21">
        <v>5450</v>
      </c>
      <c r="V8" t="s">
        <v>25</v>
      </c>
      <c r="W8" t="s">
        <v>25</v>
      </c>
      <c r="X8">
        <v>1</v>
      </c>
      <c r="Y8" t="s">
        <v>120</v>
      </c>
    </row>
    <row r="9" spans="1:26" x14ac:dyDescent="0.4">
      <c r="A9" s="12">
        <v>45818.966666666667</v>
      </c>
      <c r="B9" s="10">
        <v>0.96666666666666667</v>
      </c>
      <c r="C9" s="10" t="s">
        <v>170</v>
      </c>
      <c r="D9" s="7" t="s">
        <v>31</v>
      </c>
      <c r="J9" t="s">
        <v>47</v>
      </c>
      <c r="K9" s="21">
        <v>2400</v>
      </c>
      <c r="L9" s="21">
        <v>1300</v>
      </c>
      <c r="M9" s="21">
        <v>1600</v>
      </c>
      <c r="N9" s="21">
        <v>2400</v>
      </c>
      <c r="O9" s="21"/>
      <c r="P9" s="21">
        <v>1700</v>
      </c>
      <c r="Q9" s="21"/>
      <c r="V9" t="s">
        <v>26</v>
      </c>
      <c r="W9" t="s">
        <v>25</v>
      </c>
      <c r="X9">
        <v>1</v>
      </c>
      <c r="Y9" t="s">
        <v>121</v>
      </c>
    </row>
    <row r="10" spans="1:26" x14ac:dyDescent="0.4">
      <c r="A10" s="12">
        <v>45818.968055555553</v>
      </c>
      <c r="B10" s="10">
        <v>0.96805555555555556</v>
      </c>
      <c r="C10" s="10" t="s">
        <v>171</v>
      </c>
      <c r="D10" s="7" t="s">
        <v>32</v>
      </c>
      <c r="J10" t="s">
        <v>20</v>
      </c>
      <c r="K10" s="21">
        <v>1290</v>
      </c>
      <c r="L10" s="21">
        <v>749</v>
      </c>
      <c r="M10" s="21">
        <v>899</v>
      </c>
      <c r="N10" s="21">
        <v>1290</v>
      </c>
      <c r="O10" s="21">
        <v>1490</v>
      </c>
      <c r="P10" s="21">
        <v>1785</v>
      </c>
      <c r="Q10" s="22"/>
      <c r="V10" t="s">
        <v>25</v>
      </c>
      <c r="W10" t="s">
        <v>25</v>
      </c>
      <c r="X10">
        <v>1</v>
      </c>
      <c r="Y10" t="s">
        <v>122</v>
      </c>
    </row>
    <row r="11" spans="1:26" x14ac:dyDescent="0.4">
      <c r="A11" s="12">
        <v>45818.974305555559</v>
      </c>
      <c r="B11" s="10">
        <v>0.97430555555555554</v>
      </c>
      <c r="C11" s="10" t="s">
        <v>172</v>
      </c>
      <c r="D11" s="7" t="s">
        <v>33</v>
      </c>
      <c r="J11" t="s">
        <v>24</v>
      </c>
      <c r="K11" s="21">
        <v>1800</v>
      </c>
      <c r="L11" s="21">
        <v>1500</v>
      </c>
      <c r="M11" s="21">
        <v>1300</v>
      </c>
      <c r="N11" s="21">
        <v>1000</v>
      </c>
      <c r="O11" s="21"/>
      <c r="P11" s="21">
        <v>1000</v>
      </c>
      <c r="Q11" s="21"/>
      <c r="V11" t="s">
        <v>26</v>
      </c>
      <c r="W11" t="s">
        <v>25</v>
      </c>
      <c r="X11">
        <v>1</v>
      </c>
      <c r="Y11" t="s">
        <v>123</v>
      </c>
    </row>
    <row r="12" spans="1:26" x14ac:dyDescent="0.4">
      <c r="A12" s="12">
        <v>45818.976388888892</v>
      </c>
      <c r="B12" s="10">
        <v>0.97638888888888886</v>
      </c>
      <c r="C12" s="10" t="s">
        <v>173</v>
      </c>
      <c r="D12" s="7" t="s">
        <v>34</v>
      </c>
      <c r="J12" t="s">
        <v>35</v>
      </c>
      <c r="K12" s="21"/>
      <c r="L12" s="21"/>
      <c r="M12" s="21"/>
      <c r="N12" s="21"/>
      <c r="O12" s="21">
        <v>1000</v>
      </c>
      <c r="P12" s="21"/>
      <c r="Q12" s="21"/>
      <c r="V12" t="s">
        <v>26</v>
      </c>
      <c r="W12" t="s">
        <v>25</v>
      </c>
      <c r="X12">
        <v>1</v>
      </c>
      <c r="Y12" t="s">
        <v>124</v>
      </c>
    </row>
    <row r="13" spans="1:26" x14ac:dyDescent="0.4">
      <c r="A13" s="12">
        <v>45818.977777777778</v>
      </c>
      <c r="B13" s="10">
        <v>0.97777777777777775</v>
      </c>
      <c r="C13" s="10" t="s">
        <v>174</v>
      </c>
      <c r="D13" s="7" t="s">
        <v>391</v>
      </c>
      <c r="J13" t="s">
        <v>47</v>
      </c>
      <c r="K13" s="21"/>
      <c r="L13" s="21">
        <v>1800</v>
      </c>
      <c r="M13" s="21">
        <v>2000</v>
      </c>
      <c r="N13" s="21"/>
      <c r="O13" s="21"/>
      <c r="P13" s="21">
        <v>1300</v>
      </c>
      <c r="Q13" s="21"/>
      <c r="V13" t="s">
        <v>26</v>
      </c>
      <c r="W13" t="s">
        <v>25</v>
      </c>
      <c r="X13">
        <v>1</v>
      </c>
      <c r="Y13" t="s">
        <v>390</v>
      </c>
    </row>
    <row r="14" spans="1:26" x14ac:dyDescent="0.4">
      <c r="A14" s="12">
        <v>45818.978472222225</v>
      </c>
      <c r="B14" s="10">
        <v>0.97847222222222219</v>
      </c>
      <c r="C14" s="10" t="s">
        <v>175</v>
      </c>
      <c r="D14" s="7" t="s">
        <v>36</v>
      </c>
      <c r="J14" t="s">
        <v>37</v>
      </c>
      <c r="K14" s="21">
        <v>1740</v>
      </c>
      <c r="L14" s="21">
        <v>790</v>
      </c>
      <c r="M14" s="21">
        <v>990</v>
      </c>
      <c r="N14" s="21">
        <v>1190</v>
      </c>
      <c r="O14" s="22"/>
      <c r="P14" s="23">
        <v>2410</v>
      </c>
      <c r="Q14" s="22"/>
      <c r="V14" t="s">
        <v>25</v>
      </c>
      <c r="W14" t="s">
        <v>25</v>
      </c>
      <c r="X14">
        <v>1</v>
      </c>
      <c r="Y14" t="s">
        <v>125</v>
      </c>
    </row>
    <row r="15" spans="1:26" x14ac:dyDescent="0.4">
      <c r="A15" s="12">
        <v>45818.981249999997</v>
      </c>
      <c r="B15" s="10">
        <v>0.98124999999999996</v>
      </c>
      <c r="C15" s="10" t="s">
        <v>176</v>
      </c>
      <c r="D15" s="7" t="s">
        <v>38</v>
      </c>
      <c r="J15" t="s">
        <v>47</v>
      </c>
      <c r="K15" s="21"/>
      <c r="L15" s="21"/>
      <c r="M15" s="21"/>
      <c r="N15" s="21">
        <v>1800</v>
      </c>
      <c r="O15" s="21">
        <v>1000</v>
      </c>
      <c r="P15" s="21"/>
      <c r="Q15" s="21"/>
      <c r="V15" t="s">
        <v>26</v>
      </c>
      <c r="W15" t="s">
        <v>25</v>
      </c>
      <c r="X15">
        <v>1</v>
      </c>
      <c r="Y15" t="s">
        <v>126</v>
      </c>
    </row>
    <row r="16" spans="1:26" x14ac:dyDescent="0.4">
      <c r="A16" s="12">
        <v>45818.982638888891</v>
      </c>
      <c r="B16" s="10">
        <v>0.98263888888888884</v>
      </c>
      <c r="C16" s="10" t="s">
        <v>177</v>
      </c>
      <c r="D16" s="7" t="s">
        <v>39</v>
      </c>
      <c r="J16" t="s">
        <v>20</v>
      </c>
      <c r="K16" s="21">
        <v>1290</v>
      </c>
      <c r="L16" s="21">
        <v>749</v>
      </c>
      <c r="M16" s="21">
        <v>899</v>
      </c>
      <c r="N16" s="21">
        <v>1290</v>
      </c>
      <c r="O16" s="21">
        <v>1490</v>
      </c>
      <c r="P16" s="21">
        <v>1785</v>
      </c>
      <c r="Q16" s="22"/>
      <c r="V16" t="s">
        <v>25</v>
      </c>
      <c r="W16" t="s">
        <v>25</v>
      </c>
      <c r="X16">
        <v>1</v>
      </c>
      <c r="Y16" t="s">
        <v>127</v>
      </c>
    </row>
    <row r="17" spans="1:25" x14ac:dyDescent="0.4">
      <c r="A17" s="12">
        <v>45818.986111111109</v>
      </c>
      <c r="B17" s="10">
        <v>0.98611111111111116</v>
      </c>
      <c r="C17" s="10" t="s">
        <v>178</v>
      </c>
      <c r="D17" s="7" t="s">
        <v>40</v>
      </c>
      <c r="J17" t="s">
        <v>47</v>
      </c>
      <c r="K17" s="21">
        <v>1900</v>
      </c>
      <c r="L17" s="21">
        <v>1300</v>
      </c>
      <c r="M17" s="21">
        <v>1400</v>
      </c>
      <c r="N17" s="21">
        <v>2600</v>
      </c>
      <c r="O17" s="21"/>
      <c r="P17" s="21">
        <v>1035</v>
      </c>
      <c r="Q17" s="21"/>
      <c r="V17" t="s">
        <v>26</v>
      </c>
      <c r="W17" t="s">
        <v>25</v>
      </c>
      <c r="X17">
        <v>1</v>
      </c>
      <c r="Y17" t="s">
        <v>128</v>
      </c>
    </row>
    <row r="18" spans="1:25" x14ac:dyDescent="0.4">
      <c r="A18" s="12">
        <v>45818.990277777775</v>
      </c>
      <c r="B18" s="10">
        <v>0.99027777777777781</v>
      </c>
      <c r="C18" s="10" t="s">
        <v>179</v>
      </c>
      <c r="D18" s="7" t="s">
        <v>41</v>
      </c>
      <c r="J18" t="s">
        <v>66</v>
      </c>
      <c r="K18" s="21"/>
      <c r="L18" s="21"/>
      <c r="M18" s="21"/>
      <c r="N18" s="21">
        <v>2200</v>
      </c>
      <c r="O18" s="21">
        <v>900</v>
      </c>
      <c r="P18" s="21">
        <v>1742</v>
      </c>
      <c r="Q18" s="21"/>
      <c r="V18" t="s">
        <v>26</v>
      </c>
      <c r="W18" t="s">
        <v>25</v>
      </c>
      <c r="X18">
        <v>1</v>
      </c>
      <c r="Y18" t="s">
        <v>129</v>
      </c>
    </row>
    <row r="19" spans="1:25" x14ac:dyDescent="0.4">
      <c r="A19" s="12">
        <v>45818.990972222222</v>
      </c>
      <c r="B19" s="10">
        <v>0.99097222222222225</v>
      </c>
      <c r="C19" s="10" t="s">
        <v>180</v>
      </c>
      <c r="D19" s="7" t="s">
        <v>42</v>
      </c>
      <c r="J19" t="s">
        <v>20</v>
      </c>
      <c r="K19" s="21">
        <v>1290</v>
      </c>
      <c r="L19" s="21">
        <v>749</v>
      </c>
      <c r="M19" s="21">
        <v>899</v>
      </c>
      <c r="N19" s="21">
        <v>1290</v>
      </c>
      <c r="O19" s="21">
        <v>1490</v>
      </c>
      <c r="P19" s="21">
        <v>1785</v>
      </c>
      <c r="Q19" s="22"/>
      <c r="V19" t="s">
        <v>25</v>
      </c>
      <c r="W19" t="s">
        <v>25</v>
      </c>
      <c r="X19">
        <v>1</v>
      </c>
      <c r="Y19" t="s">
        <v>130</v>
      </c>
    </row>
    <row r="20" spans="1:25" x14ac:dyDescent="0.4">
      <c r="A20" s="12">
        <v>45818.996527777781</v>
      </c>
      <c r="B20" s="10">
        <v>0.99652777777777779</v>
      </c>
      <c r="C20" s="10" t="s">
        <v>181</v>
      </c>
      <c r="D20" s="7" t="s">
        <v>43</v>
      </c>
      <c r="J20" t="s">
        <v>24</v>
      </c>
      <c r="K20" s="21">
        <v>1700</v>
      </c>
      <c r="L20" s="21">
        <v>900</v>
      </c>
      <c r="M20" s="21">
        <v>1300</v>
      </c>
      <c r="N20" s="21">
        <v>1200</v>
      </c>
      <c r="O20" s="21">
        <v>1000</v>
      </c>
      <c r="P20" s="21">
        <v>1600</v>
      </c>
      <c r="Q20" s="21">
        <v>8600</v>
      </c>
      <c r="V20" t="s">
        <v>26</v>
      </c>
      <c r="W20" t="s">
        <v>25</v>
      </c>
      <c r="X20">
        <v>1</v>
      </c>
      <c r="Y20" t="s">
        <v>131</v>
      </c>
    </row>
    <row r="21" spans="1:25" x14ac:dyDescent="0.4">
      <c r="A21" s="12">
        <v>45818.999305555553</v>
      </c>
      <c r="B21" s="10">
        <v>0.99930555555555556</v>
      </c>
      <c r="C21" s="10" t="s">
        <v>182</v>
      </c>
      <c r="D21" s="7" t="s">
        <v>44</v>
      </c>
      <c r="J21" t="s">
        <v>35</v>
      </c>
      <c r="K21" s="21"/>
      <c r="L21" s="21"/>
      <c r="M21" s="21"/>
      <c r="N21" s="21"/>
      <c r="O21" s="21">
        <v>1000</v>
      </c>
      <c r="P21" s="21"/>
      <c r="Q21" s="21"/>
      <c r="V21" t="s">
        <v>26</v>
      </c>
      <c r="W21" t="s">
        <v>25</v>
      </c>
      <c r="X21">
        <v>1</v>
      </c>
      <c r="Y21" t="s">
        <v>132</v>
      </c>
    </row>
    <row r="22" spans="1:25" x14ac:dyDescent="0.4">
      <c r="A22" s="12">
        <v>45819</v>
      </c>
      <c r="B22" s="10">
        <v>0</v>
      </c>
      <c r="C22" s="10" t="s">
        <v>183</v>
      </c>
      <c r="D22" s="7" t="s">
        <v>45</v>
      </c>
      <c r="J22" t="s">
        <v>37</v>
      </c>
      <c r="K22" s="21">
        <v>1390</v>
      </c>
      <c r="L22" s="21">
        <v>790</v>
      </c>
      <c r="M22" s="21">
        <v>990</v>
      </c>
      <c r="N22" s="21">
        <v>1600</v>
      </c>
      <c r="O22" s="22"/>
      <c r="P22" s="23">
        <v>2145</v>
      </c>
      <c r="Q22" s="22"/>
      <c r="V22" t="s">
        <v>25</v>
      </c>
      <c r="W22" t="s">
        <v>25</v>
      </c>
      <c r="X22">
        <v>1</v>
      </c>
      <c r="Y22" t="s">
        <v>239</v>
      </c>
    </row>
    <row r="23" spans="1:25" x14ac:dyDescent="0.4">
      <c r="A23" s="12">
        <v>45819.00277777778</v>
      </c>
      <c r="B23" s="10">
        <v>2.7777777777777779E-3</v>
      </c>
      <c r="C23" s="10" t="s">
        <v>184</v>
      </c>
      <c r="D23" s="7" t="s">
        <v>46</v>
      </c>
      <c r="J23" t="s">
        <v>47</v>
      </c>
      <c r="K23" s="21"/>
      <c r="L23" s="21"/>
      <c r="M23" s="21">
        <v>1500</v>
      </c>
      <c r="N23" s="21">
        <v>1800</v>
      </c>
      <c r="O23" s="21"/>
      <c r="P23" s="21"/>
      <c r="Q23" s="21"/>
      <c r="V23" t="s">
        <v>26</v>
      </c>
      <c r="W23" t="s">
        <v>25</v>
      </c>
      <c r="X23">
        <v>1</v>
      </c>
      <c r="Y23" t="s">
        <v>133</v>
      </c>
    </row>
    <row r="24" spans="1:25" x14ac:dyDescent="0.4">
      <c r="A24" s="12">
        <v>45819.003472222219</v>
      </c>
      <c r="B24" s="10">
        <v>3.472222222222222E-3</v>
      </c>
      <c r="C24" s="10" t="s">
        <v>185</v>
      </c>
      <c r="D24" s="7" t="s">
        <v>48</v>
      </c>
      <c r="J24" t="s">
        <v>35</v>
      </c>
      <c r="K24" s="21"/>
      <c r="L24" s="21"/>
      <c r="M24" s="21"/>
      <c r="N24" s="21"/>
      <c r="O24" s="21">
        <v>800</v>
      </c>
      <c r="P24" s="21"/>
      <c r="Q24" s="21"/>
      <c r="V24" t="s">
        <v>26</v>
      </c>
      <c r="W24" t="s">
        <v>25</v>
      </c>
      <c r="X24">
        <v>1</v>
      </c>
      <c r="Y24" t="s">
        <v>134</v>
      </c>
    </row>
    <row r="25" spans="1:25" x14ac:dyDescent="0.4">
      <c r="A25" s="12">
        <v>45819.004861111112</v>
      </c>
      <c r="B25" s="10">
        <v>4.8611111111111112E-3</v>
      </c>
      <c r="C25" s="10" t="s">
        <v>186</v>
      </c>
      <c r="D25" s="7" t="s">
        <v>49</v>
      </c>
      <c r="J25" t="s">
        <v>47</v>
      </c>
      <c r="K25" s="21"/>
      <c r="L25" s="21">
        <v>2500</v>
      </c>
      <c r="M25" s="21"/>
      <c r="N25" s="21">
        <v>2000</v>
      </c>
      <c r="O25" s="21"/>
      <c r="P25" s="21"/>
      <c r="Q25" s="21"/>
      <c r="V25" t="s">
        <v>26</v>
      </c>
      <c r="W25" t="s">
        <v>25</v>
      </c>
      <c r="X25">
        <v>1</v>
      </c>
      <c r="Y25" t="s">
        <v>135</v>
      </c>
    </row>
    <row r="26" spans="1:25" x14ac:dyDescent="0.4">
      <c r="A26" s="12">
        <v>45819.005555555559</v>
      </c>
      <c r="B26" s="10">
        <v>5.5555555555555558E-3</v>
      </c>
      <c r="C26" s="10" t="s">
        <v>187</v>
      </c>
      <c r="D26" s="7" t="s">
        <v>50</v>
      </c>
      <c r="J26" t="s">
        <v>47</v>
      </c>
      <c r="K26" s="21"/>
      <c r="L26" s="21"/>
      <c r="M26" s="21">
        <v>1100</v>
      </c>
      <c r="N26" s="21">
        <v>1800</v>
      </c>
      <c r="O26" s="21">
        <v>700</v>
      </c>
      <c r="P26" s="21">
        <v>1200</v>
      </c>
      <c r="Q26" s="21">
        <v>14500</v>
      </c>
      <c r="V26" t="s">
        <v>26</v>
      </c>
      <c r="W26" t="s">
        <v>25</v>
      </c>
      <c r="X26">
        <v>1</v>
      </c>
      <c r="Y26" t="s">
        <v>136</v>
      </c>
    </row>
    <row r="27" spans="1:25" x14ac:dyDescent="0.4">
      <c r="A27" s="12">
        <v>45819.009027777778</v>
      </c>
      <c r="B27" s="10">
        <v>9.0277777777777769E-3</v>
      </c>
      <c r="C27" s="10" t="s">
        <v>188</v>
      </c>
      <c r="D27" s="7" t="s">
        <v>51</v>
      </c>
      <c r="J27" t="s">
        <v>24</v>
      </c>
      <c r="K27" s="21"/>
      <c r="L27" s="21">
        <v>1500</v>
      </c>
      <c r="M27" s="21">
        <v>1700</v>
      </c>
      <c r="N27" s="21">
        <v>2000</v>
      </c>
      <c r="O27" s="21">
        <v>1200</v>
      </c>
      <c r="P27" s="21">
        <v>1500</v>
      </c>
      <c r="Q27" s="21">
        <v>900</v>
      </c>
      <c r="V27" t="s">
        <v>26</v>
      </c>
      <c r="W27" t="s">
        <v>25</v>
      </c>
      <c r="X27">
        <v>1</v>
      </c>
      <c r="Y27" t="s">
        <v>137</v>
      </c>
    </row>
    <row r="28" spans="1:25" x14ac:dyDescent="0.4">
      <c r="A28" s="12">
        <v>45820.73541666667</v>
      </c>
      <c r="B28" s="10">
        <v>0.73541666666666672</v>
      </c>
      <c r="C28" s="10" t="s">
        <v>189</v>
      </c>
      <c r="D28" s="7" t="s">
        <v>52</v>
      </c>
      <c r="J28" t="s">
        <v>24</v>
      </c>
      <c r="K28" s="21">
        <v>1600</v>
      </c>
      <c r="L28" s="21">
        <v>1000</v>
      </c>
      <c r="M28" s="21">
        <v>1500</v>
      </c>
      <c r="N28" s="21">
        <v>1800</v>
      </c>
      <c r="O28" s="21">
        <v>1000</v>
      </c>
      <c r="P28" s="21">
        <v>2300</v>
      </c>
      <c r="Q28" s="21"/>
      <c r="V28" t="s">
        <v>26</v>
      </c>
      <c r="W28" t="s">
        <v>25</v>
      </c>
      <c r="X28">
        <v>1</v>
      </c>
      <c r="Y28" t="s">
        <v>138</v>
      </c>
    </row>
    <row r="29" spans="1:25" x14ac:dyDescent="0.4">
      <c r="A29" s="12">
        <v>45820.745833333334</v>
      </c>
      <c r="B29" s="10">
        <v>0.74583333333333335</v>
      </c>
      <c r="C29" s="10" t="s">
        <v>190</v>
      </c>
      <c r="D29" s="7" t="s">
        <v>54</v>
      </c>
      <c r="J29" t="s">
        <v>24</v>
      </c>
      <c r="K29" s="21">
        <v>1400</v>
      </c>
      <c r="L29" s="21">
        <v>2000</v>
      </c>
      <c r="M29" s="21">
        <v>2000</v>
      </c>
      <c r="N29" s="21">
        <v>4000</v>
      </c>
      <c r="O29" s="21"/>
      <c r="P29" s="21">
        <v>2136</v>
      </c>
      <c r="Q29" s="21"/>
      <c r="V29" t="s">
        <v>26</v>
      </c>
      <c r="W29" t="s">
        <v>25</v>
      </c>
      <c r="X29">
        <v>1</v>
      </c>
      <c r="Y29" t="s">
        <v>139</v>
      </c>
    </row>
    <row r="30" spans="1:25" x14ac:dyDescent="0.4">
      <c r="A30" s="12">
        <v>45820.750694444447</v>
      </c>
      <c r="B30" s="10">
        <v>0.75069444444444444</v>
      </c>
      <c r="C30" s="10" t="s">
        <v>191</v>
      </c>
      <c r="D30" s="7" t="s">
        <v>55</v>
      </c>
      <c r="J30" t="s">
        <v>35</v>
      </c>
      <c r="K30" s="21"/>
      <c r="L30" s="21"/>
      <c r="M30" s="21"/>
      <c r="N30" s="21"/>
      <c r="O30" s="21">
        <v>1333</v>
      </c>
      <c r="P30" s="21"/>
      <c r="Q30" s="21"/>
      <c r="V30" t="s">
        <v>26</v>
      </c>
      <c r="W30" t="s">
        <v>25</v>
      </c>
      <c r="X30">
        <v>1</v>
      </c>
      <c r="Y30" t="s">
        <v>140</v>
      </c>
    </row>
    <row r="31" spans="1:25" x14ac:dyDescent="0.4">
      <c r="A31" s="12">
        <v>45820.751388888886</v>
      </c>
      <c r="B31" s="10">
        <v>0.75138888888888888</v>
      </c>
      <c r="C31" s="10" t="s">
        <v>192</v>
      </c>
      <c r="D31" s="7" t="s">
        <v>56</v>
      </c>
      <c r="J31" t="s">
        <v>20</v>
      </c>
      <c r="K31" s="21">
        <v>1290</v>
      </c>
      <c r="L31" s="21">
        <v>749</v>
      </c>
      <c r="M31" s="21">
        <v>949</v>
      </c>
      <c r="N31" s="21">
        <v>1290</v>
      </c>
      <c r="O31" s="21">
        <v>1400</v>
      </c>
      <c r="P31" s="21">
        <v>1788</v>
      </c>
      <c r="Q31" s="21">
        <v>9350</v>
      </c>
      <c r="V31" t="s">
        <v>25</v>
      </c>
      <c r="W31" t="s">
        <v>25</v>
      </c>
      <c r="X31">
        <v>1</v>
      </c>
      <c r="Y31" t="s">
        <v>141</v>
      </c>
    </row>
    <row r="32" spans="1:25" x14ac:dyDescent="0.4">
      <c r="A32" s="12">
        <v>45820.759722222225</v>
      </c>
      <c r="B32" s="10">
        <v>0.75972222222222219</v>
      </c>
      <c r="C32" s="10" t="s">
        <v>193</v>
      </c>
      <c r="D32" s="7" t="s">
        <v>57</v>
      </c>
      <c r="J32" t="s">
        <v>58</v>
      </c>
      <c r="K32" s="21">
        <v>2100</v>
      </c>
      <c r="L32" s="21">
        <v>1200</v>
      </c>
      <c r="M32" s="21">
        <v>2000</v>
      </c>
      <c r="N32" s="21">
        <v>5200</v>
      </c>
      <c r="O32" s="21"/>
      <c r="P32" s="21"/>
      <c r="Q32" s="21"/>
      <c r="U32" t="s">
        <v>243</v>
      </c>
      <c r="V32" t="s">
        <v>26</v>
      </c>
      <c r="W32" t="s">
        <v>25</v>
      </c>
      <c r="X32">
        <v>1</v>
      </c>
      <c r="Y32" t="s">
        <v>142</v>
      </c>
    </row>
    <row r="33" spans="1:25" x14ac:dyDescent="0.4">
      <c r="A33" s="12">
        <v>45820.770138888889</v>
      </c>
      <c r="B33" s="10">
        <v>0.77013888888888893</v>
      </c>
      <c r="C33" s="10" t="s">
        <v>194</v>
      </c>
      <c r="D33" s="7" t="s">
        <v>384</v>
      </c>
      <c r="J33" t="s">
        <v>47</v>
      </c>
      <c r="K33" s="21">
        <v>1485</v>
      </c>
      <c r="L33" s="21">
        <v>940</v>
      </c>
      <c r="M33" s="21">
        <v>949</v>
      </c>
      <c r="N33" s="21">
        <v>1400</v>
      </c>
      <c r="O33" s="21">
        <v>1400</v>
      </c>
      <c r="P33" s="21">
        <v>1288</v>
      </c>
      <c r="Q33" s="21"/>
      <c r="V33" t="s">
        <v>26</v>
      </c>
      <c r="W33" t="s">
        <v>25</v>
      </c>
      <c r="X33">
        <v>1</v>
      </c>
      <c r="Y33" t="s">
        <v>385</v>
      </c>
    </row>
    <row r="34" spans="1:25" x14ac:dyDescent="0.4">
      <c r="A34" s="12">
        <v>45820.773611111108</v>
      </c>
      <c r="B34" s="10">
        <v>0.77361111111111114</v>
      </c>
      <c r="C34" s="10" t="s">
        <v>195</v>
      </c>
      <c r="D34" s="7" t="s">
        <v>59</v>
      </c>
      <c r="J34" t="s">
        <v>60</v>
      </c>
      <c r="K34" s="21">
        <v>1290</v>
      </c>
      <c r="L34" s="21">
        <v>870</v>
      </c>
      <c r="M34" s="21">
        <v>1080</v>
      </c>
      <c r="N34" s="21">
        <v>1050</v>
      </c>
      <c r="O34" s="21">
        <v>1629</v>
      </c>
      <c r="P34" s="21">
        <v>1845</v>
      </c>
      <c r="Q34" s="21">
        <v>5315</v>
      </c>
      <c r="V34" t="s">
        <v>25</v>
      </c>
      <c r="W34" t="s">
        <v>25</v>
      </c>
      <c r="X34">
        <v>1</v>
      </c>
      <c r="Y34" t="s">
        <v>143</v>
      </c>
    </row>
    <row r="35" spans="1:25" x14ac:dyDescent="0.4">
      <c r="A35" s="12">
        <v>45820.78125</v>
      </c>
      <c r="B35" s="10">
        <v>0.78125</v>
      </c>
      <c r="C35" s="10" t="s">
        <v>196</v>
      </c>
      <c r="D35" s="7" t="s">
        <v>389</v>
      </c>
      <c r="J35" t="s">
        <v>47</v>
      </c>
      <c r="K35" s="21"/>
      <c r="L35" s="21">
        <v>1000</v>
      </c>
      <c r="M35" s="21"/>
      <c r="N35" s="21">
        <v>1400</v>
      </c>
      <c r="O35" s="21">
        <v>1500</v>
      </c>
      <c r="P35" s="21"/>
      <c r="Q35" s="21"/>
      <c r="V35" t="s">
        <v>26</v>
      </c>
      <c r="W35" t="s">
        <v>25</v>
      </c>
      <c r="X35">
        <v>1</v>
      </c>
      <c r="Y35" t="s">
        <v>388</v>
      </c>
    </row>
    <row r="36" spans="1:25" x14ac:dyDescent="0.4">
      <c r="A36" s="12">
        <v>45820.787499999999</v>
      </c>
      <c r="B36" s="10">
        <v>0.78680555555555554</v>
      </c>
      <c r="C36" s="10" t="s">
        <v>197</v>
      </c>
      <c r="D36" s="7" t="s">
        <v>383</v>
      </c>
      <c r="J36" t="s">
        <v>61</v>
      </c>
      <c r="K36" s="21">
        <v>1950</v>
      </c>
      <c r="L36" s="21">
        <v>870</v>
      </c>
      <c r="M36" s="21">
        <v>1080</v>
      </c>
      <c r="N36" s="21">
        <v>1550</v>
      </c>
      <c r="O36" s="21">
        <v>969</v>
      </c>
      <c r="P36" s="21">
        <v>139</v>
      </c>
      <c r="Q36" s="21">
        <v>8855</v>
      </c>
      <c r="V36" t="s">
        <v>25</v>
      </c>
      <c r="W36" t="s">
        <v>25</v>
      </c>
      <c r="X36">
        <v>1</v>
      </c>
      <c r="Y36" t="s">
        <v>382</v>
      </c>
    </row>
    <row r="37" spans="1:25" x14ac:dyDescent="0.4">
      <c r="A37" s="12">
        <v>45820.792361111111</v>
      </c>
      <c r="B37" s="10">
        <v>0.79236111111111107</v>
      </c>
      <c r="C37" s="10" t="s">
        <v>198</v>
      </c>
      <c r="D37" s="7" t="s">
        <v>62</v>
      </c>
      <c r="J37" t="s">
        <v>20</v>
      </c>
      <c r="K37" s="21">
        <v>1290</v>
      </c>
      <c r="L37" s="21">
        <v>749</v>
      </c>
      <c r="M37" s="21">
        <v>949</v>
      </c>
      <c r="N37" s="21">
        <v>1290</v>
      </c>
      <c r="O37" s="21">
        <v>1590</v>
      </c>
      <c r="P37" s="21">
        <v>1788</v>
      </c>
      <c r="Q37" s="21"/>
      <c r="V37" t="s">
        <v>25</v>
      </c>
      <c r="W37" t="s">
        <v>25</v>
      </c>
      <c r="X37">
        <v>1</v>
      </c>
      <c r="Y37" t="s">
        <v>144</v>
      </c>
    </row>
    <row r="38" spans="1:25" x14ac:dyDescent="0.4">
      <c r="A38" s="12">
        <v>45820.795138888891</v>
      </c>
      <c r="B38" s="10">
        <v>0.79513888888888884</v>
      </c>
      <c r="C38" s="10" t="s">
        <v>199</v>
      </c>
      <c r="D38" s="7" t="s">
        <v>63</v>
      </c>
      <c r="J38" t="s">
        <v>35</v>
      </c>
      <c r="K38" s="21"/>
      <c r="L38" s="21"/>
      <c r="M38" s="21"/>
      <c r="N38" s="21"/>
      <c r="O38" s="21">
        <v>1000</v>
      </c>
      <c r="P38" s="21"/>
      <c r="Q38" s="21"/>
      <c r="V38" t="s">
        <v>26</v>
      </c>
      <c r="W38" t="s">
        <v>25</v>
      </c>
      <c r="X38">
        <v>1</v>
      </c>
      <c r="Y38" t="s">
        <v>145</v>
      </c>
    </row>
    <row r="39" spans="1:25" x14ac:dyDescent="0.4">
      <c r="A39" s="12">
        <v>45820.79583333333</v>
      </c>
      <c r="B39" s="10">
        <v>0.79583333333333328</v>
      </c>
      <c r="C39" s="10" t="s">
        <v>200</v>
      </c>
      <c r="D39" s="7" t="s">
        <v>64</v>
      </c>
      <c r="J39" t="s">
        <v>21</v>
      </c>
      <c r="K39" s="21"/>
      <c r="L39" s="21"/>
      <c r="M39" s="21"/>
      <c r="N39" s="21"/>
      <c r="O39" s="21"/>
      <c r="P39" s="21"/>
      <c r="Q39" s="21">
        <v>545</v>
      </c>
      <c r="V39" t="s">
        <v>25</v>
      </c>
      <c r="W39" t="s">
        <v>25</v>
      </c>
      <c r="X39">
        <v>1</v>
      </c>
      <c r="Y39" t="s">
        <v>146</v>
      </c>
    </row>
    <row r="40" spans="1:25" x14ac:dyDescent="0.4">
      <c r="A40" s="12">
        <v>45820.797222222223</v>
      </c>
      <c r="B40" s="10">
        <v>0.79722222222222228</v>
      </c>
      <c r="C40" s="10" t="s">
        <v>201</v>
      </c>
      <c r="D40" s="7" t="s">
        <v>65</v>
      </c>
      <c r="J40" t="s">
        <v>66</v>
      </c>
      <c r="K40" s="21"/>
      <c r="L40" s="21">
        <v>1400</v>
      </c>
      <c r="M40" s="21">
        <v>1200</v>
      </c>
      <c r="N40" s="21"/>
      <c r="O40" s="21"/>
      <c r="P40" s="21">
        <v>1500</v>
      </c>
      <c r="Q40" s="21"/>
      <c r="V40" t="s">
        <v>26</v>
      </c>
      <c r="W40" t="s">
        <v>25</v>
      </c>
      <c r="X40">
        <v>1</v>
      </c>
      <c r="Y40" t="s">
        <v>147</v>
      </c>
    </row>
    <row r="41" spans="1:25" x14ac:dyDescent="0.4">
      <c r="A41" s="12">
        <v>45820.806250000001</v>
      </c>
      <c r="B41" s="10">
        <v>0.80625000000000002</v>
      </c>
      <c r="C41" s="10" t="s">
        <v>202</v>
      </c>
      <c r="D41" s="7" t="s">
        <v>67</v>
      </c>
      <c r="J41" t="s">
        <v>35</v>
      </c>
      <c r="K41" s="21"/>
      <c r="L41" s="21"/>
      <c r="M41" s="21"/>
      <c r="N41" s="21"/>
      <c r="O41" s="21">
        <v>1000</v>
      </c>
      <c r="P41" s="21"/>
      <c r="Q41" s="21"/>
      <c r="V41" t="s">
        <v>26</v>
      </c>
      <c r="W41" t="s">
        <v>25</v>
      </c>
      <c r="X41">
        <v>1</v>
      </c>
      <c r="Y41" t="s">
        <v>148</v>
      </c>
    </row>
    <row r="42" spans="1:25" x14ac:dyDescent="0.4">
      <c r="A42" s="12">
        <v>45820.813888888886</v>
      </c>
      <c r="B42" s="10">
        <v>0.81388888888888888</v>
      </c>
      <c r="C42" s="10" t="s">
        <v>203</v>
      </c>
      <c r="D42" s="7" t="s">
        <v>68</v>
      </c>
      <c r="J42" t="s">
        <v>69</v>
      </c>
      <c r="K42" s="21">
        <v>1290</v>
      </c>
      <c r="L42" s="21">
        <v>890</v>
      </c>
      <c r="M42" s="21">
        <v>899</v>
      </c>
      <c r="N42" s="21">
        <v>1280</v>
      </c>
      <c r="O42" s="21">
        <v>600</v>
      </c>
      <c r="P42" s="21">
        <v>1278</v>
      </c>
      <c r="Q42" s="21">
        <v>13500</v>
      </c>
      <c r="V42" t="s">
        <v>25</v>
      </c>
      <c r="W42" t="s">
        <v>25</v>
      </c>
      <c r="X42">
        <v>1</v>
      </c>
      <c r="Y42" t="s">
        <v>149</v>
      </c>
    </row>
    <row r="43" spans="1:25" x14ac:dyDescent="0.4">
      <c r="A43" s="12">
        <v>45820.821527777778</v>
      </c>
      <c r="B43" s="10">
        <v>0.82152777777777775</v>
      </c>
      <c r="C43" s="10" t="s">
        <v>204</v>
      </c>
      <c r="D43" s="7" t="s">
        <v>70</v>
      </c>
      <c r="J43" t="s">
        <v>35</v>
      </c>
      <c r="K43" s="21"/>
      <c r="L43" s="21"/>
      <c r="M43" s="21"/>
      <c r="N43" s="21"/>
      <c r="O43" s="21">
        <v>750</v>
      </c>
      <c r="P43" s="21"/>
      <c r="Q43" s="21"/>
      <c r="V43" t="s">
        <v>26</v>
      </c>
      <c r="W43" t="s">
        <v>25</v>
      </c>
      <c r="X43">
        <v>1</v>
      </c>
      <c r="Y43" t="s">
        <v>150</v>
      </c>
    </row>
    <row r="44" spans="1:25" x14ac:dyDescent="0.4">
      <c r="A44" s="12">
        <v>45820.822222222225</v>
      </c>
      <c r="B44" s="10">
        <v>0.82222222222222219</v>
      </c>
      <c r="C44" s="10" t="s">
        <v>205</v>
      </c>
      <c r="D44" s="7" t="s">
        <v>379</v>
      </c>
      <c r="J44" t="s">
        <v>24</v>
      </c>
      <c r="K44" s="21">
        <v>1600</v>
      </c>
      <c r="L44" s="21">
        <v>900</v>
      </c>
      <c r="M44" s="21">
        <v>1300</v>
      </c>
      <c r="N44" s="21">
        <v>1600</v>
      </c>
      <c r="O44" s="21">
        <v>1000</v>
      </c>
      <c r="P44" s="21">
        <v>1600</v>
      </c>
      <c r="Q44" s="21"/>
      <c r="V44" t="s">
        <v>26</v>
      </c>
      <c r="W44" t="s">
        <v>25</v>
      </c>
      <c r="X44">
        <v>1</v>
      </c>
      <c r="Y44" t="s">
        <v>378</v>
      </c>
    </row>
    <row r="45" spans="1:25" x14ac:dyDescent="0.4">
      <c r="A45" s="12">
        <v>45820.826388888891</v>
      </c>
      <c r="B45" s="10">
        <v>0.82638888888888884</v>
      </c>
      <c r="C45" s="10" t="s">
        <v>206</v>
      </c>
      <c r="D45" s="7" t="s">
        <v>381</v>
      </c>
      <c r="J45" t="s">
        <v>35</v>
      </c>
      <c r="K45" s="21"/>
      <c r="L45" s="21"/>
      <c r="M45" s="21"/>
      <c r="N45" s="21"/>
      <c r="O45" s="21">
        <v>700</v>
      </c>
      <c r="P45" s="21"/>
      <c r="Q45" s="21"/>
      <c r="V45" t="s">
        <v>26</v>
      </c>
      <c r="W45" t="s">
        <v>25</v>
      </c>
      <c r="X45">
        <v>1</v>
      </c>
      <c r="Y45" t="s">
        <v>380</v>
      </c>
    </row>
    <row r="46" spans="1:25" x14ac:dyDescent="0.4">
      <c r="A46" s="12">
        <v>45820.827777777777</v>
      </c>
      <c r="B46" s="10">
        <v>0.82777777777777772</v>
      </c>
      <c r="C46" s="10" t="s">
        <v>207</v>
      </c>
      <c r="D46" s="7" t="s">
        <v>71</v>
      </c>
      <c r="J46" t="s">
        <v>35</v>
      </c>
      <c r="K46" s="21"/>
      <c r="L46" s="21"/>
      <c r="M46" s="21"/>
      <c r="N46" s="21"/>
      <c r="O46" s="21">
        <v>700</v>
      </c>
      <c r="P46" s="21"/>
      <c r="Q46" s="21"/>
      <c r="V46" t="s">
        <v>26</v>
      </c>
      <c r="W46" t="s">
        <v>25</v>
      </c>
      <c r="X46">
        <v>1</v>
      </c>
      <c r="Y46" t="s">
        <v>151</v>
      </c>
    </row>
    <row r="47" spans="1:25" x14ac:dyDescent="0.4">
      <c r="A47" s="12">
        <v>45820.84652777778</v>
      </c>
      <c r="B47" s="10">
        <v>0.84652777777777777</v>
      </c>
      <c r="C47" s="10" t="s">
        <v>208</v>
      </c>
      <c r="D47" s="7" t="s">
        <v>371</v>
      </c>
      <c r="J47" t="s">
        <v>35</v>
      </c>
      <c r="K47" s="21"/>
      <c r="L47" s="21"/>
      <c r="M47" s="21"/>
      <c r="N47" s="21"/>
      <c r="O47" s="21">
        <v>900</v>
      </c>
      <c r="P47" s="21"/>
      <c r="Q47" s="21"/>
      <c r="V47" t="s">
        <v>26</v>
      </c>
      <c r="W47" t="s">
        <v>25</v>
      </c>
      <c r="X47">
        <v>1</v>
      </c>
      <c r="Y47" t="s">
        <v>370</v>
      </c>
    </row>
    <row r="48" spans="1:25" x14ac:dyDescent="0.4">
      <c r="A48" s="12">
        <v>45820.849305555559</v>
      </c>
      <c r="B48" s="10">
        <v>0.84930555555555554</v>
      </c>
      <c r="C48" s="10" t="s">
        <v>209</v>
      </c>
      <c r="D48" s="7" t="s">
        <v>372</v>
      </c>
      <c r="J48" t="s">
        <v>35</v>
      </c>
      <c r="K48" s="21"/>
      <c r="L48" s="21"/>
      <c r="M48" s="21"/>
      <c r="N48" s="21"/>
      <c r="O48" s="21">
        <v>1500</v>
      </c>
      <c r="P48" s="21"/>
      <c r="Q48" s="21"/>
      <c r="V48" t="s">
        <v>26</v>
      </c>
      <c r="W48" t="s">
        <v>25</v>
      </c>
      <c r="X48">
        <v>1</v>
      </c>
      <c r="Y48" t="s">
        <v>373</v>
      </c>
    </row>
    <row r="49" spans="1:25" x14ac:dyDescent="0.4">
      <c r="A49" s="12">
        <v>45820.852777777778</v>
      </c>
      <c r="B49" s="10">
        <v>0.85277777777777775</v>
      </c>
      <c r="C49" s="10" t="s">
        <v>210</v>
      </c>
      <c r="D49" s="7" t="s">
        <v>73</v>
      </c>
      <c r="J49" t="s">
        <v>47</v>
      </c>
      <c r="K49" s="21"/>
      <c r="L49" s="21">
        <v>1200</v>
      </c>
      <c r="M49" s="21">
        <v>1600</v>
      </c>
      <c r="N49" s="21">
        <v>3000</v>
      </c>
      <c r="O49" s="21">
        <v>1500</v>
      </c>
      <c r="P49" s="21"/>
      <c r="Q49" s="21"/>
      <c r="V49" t="s">
        <v>26</v>
      </c>
      <c r="W49" t="s">
        <v>25</v>
      </c>
      <c r="X49">
        <v>1</v>
      </c>
      <c r="Y49" t="s">
        <v>153</v>
      </c>
    </row>
    <row r="50" spans="1:25" x14ac:dyDescent="0.4">
      <c r="A50" s="12">
        <v>45820.854861111111</v>
      </c>
      <c r="B50" s="10">
        <v>0.85486111111111107</v>
      </c>
      <c r="C50" s="10" t="s">
        <v>211</v>
      </c>
      <c r="D50" s="7" t="s">
        <v>74</v>
      </c>
      <c r="J50" t="s">
        <v>24</v>
      </c>
      <c r="K50" s="21">
        <v>1500</v>
      </c>
      <c r="L50" s="21">
        <v>1100</v>
      </c>
      <c r="M50" s="21">
        <v>1000</v>
      </c>
      <c r="N50" s="21">
        <v>2000</v>
      </c>
      <c r="O50" s="21"/>
      <c r="P50" s="21">
        <v>1411</v>
      </c>
      <c r="Q50" s="21"/>
      <c r="V50" t="s">
        <v>26</v>
      </c>
      <c r="W50" t="s">
        <v>25</v>
      </c>
      <c r="X50">
        <v>1</v>
      </c>
      <c r="Y50" t="s">
        <v>154</v>
      </c>
    </row>
    <row r="51" spans="1:25" x14ac:dyDescent="0.4">
      <c r="A51" s="12">
        <v>45820.857638888891</v>
      </c>
      <c r="B51" s="10">
        <v>0.85763888888888884</v>
      </c>
      <c r="C51" s="10" t="s">
        <v>212</v>
      </c>
      <c r="D51" s="7" t="s">
        <v>387</v>
      </c>
      <c r="J51" t="s">
        <v>35</v>
      </c>
      <c r="K51" s="21"/>
      <c r="L51" s="21"/>
      <c r="M51" s="21"/>
      <c r="N51" s="21"/>
      <c r="O51" s="21">
        <v>1000</v>
      </c>
      <c r="P51" s="21"/>
      <c r="Q51" s="21"/>
      <c r="V51" t="s">
        <v>26</v>
      </c>
      <c r="W51" t="s">
        <v>25</v>
      </c>
      <c r="X51">
        <v>1</v>
      </c>
      <c r="Y51" t="s">
        <v>386</v>
      </c>
    </row>
    <row r="52" spans="1:25" x14ac:dyDescent="0.4">
      <c r="A52" s="12">
        <v>45820.862500000003</v>
      </c>
      <c r="B52" s="10">
        <v>0.86250000000000004</v>
      </c>
      <c r="C52" s="10" t="s">
        <v>213</v>
      </c>
      <c r="D52" s="7" t="s">
        <v>75</v>
      </c>
      <c r="J52" t="s">
        <v>20</v>
      </c>
      <c r="K52" s="21">
        <v>1290</v>
      </c>
      <c r="L52" s="21">
        <v>749</v>
      </c>
      <c r="M52" s="21">
        <v>949</v>
      </c>
      <c r="N52" s="21">
        <v>1290</v>
      </c>
      <c r="O52" s="21">
        <v>1590</v>
      </c>
      <c r="P52" s="21">
        <v>1788</v>
      </c>
      <c r="Q52" s="21">
        <v>13500</v>
      </c>
      <c r="V52" t="s">
        <v>25</v>
      </c>
      <c r="W52" t="s">
        <v>25</v>
      </c>
      <c r="X52">
        <v>1</v>
      </c>
      <c r="Y52" t="s">
        <v>155</v>
      </c>
    </row>
    <row r="53" spans="1:25" x14ac:dyDescent="0.4">
      <c r="A53" s="12">
        <v>45820.862847222219</v>
      </c>
      <c r="B53" s="10">
        <v>0.86284722222222221</v>
      </c>
      <c r="C53" s="10" t="s">
        <v>214</v>
      </c>
      <c r="D53" s="7" t="s">
        <v>76</v>
      </c>
      <c r="J53" t="s">
        <v>21</v>
      </c>
      <c r="K53" s="21"/>
      <c r="L53" s="21"/>
      <c r="M53" s="21"/>
      <c r="N53" s="21"/>
      <c r="O53" s="21"/>
      <c r="P53" s="21"/>
      <c r="Q53" s="21">
        <v>5450</v>
      </c>
      <c r="V53" t="s">
        <v>25</v>
      </c>
      <c r="W53" t="s">
        <v>25</v>
      </c>
      <c r="X53">
        <v>1</v>
      </c>
      <c r="Y53" t="s">
        <v>156</v>
      </c>
    </row>
    <row r="54" spans="1:25" x14ac:dyDescent="0.4">
      <c r="A54" s="12">
        <v>45820.865972222222</v>
      </c>
      <c r="B54" s="10">
        <v>0.86597222222222225</v>
      </c>
      <c r="C54" s="10" t="s">
        <v>215</v>
      </c>
      <c r="D54" s="7" t="s">
        <v>77</v>
      </c>
      <c r="J54" t="s">
        <v>35</v>
      </c>
      <c r="K54" s="21"/>
      <c r="L54" s="21"/>
      <c r="M54" s="21"/>
      <c r="N54" s="21"/>
      <c r="O54" s="21">
        <v>1200</v>
      </c>
      <c r="P54" s="21"/>
      <c r="Q54" s="21"/>
      <c r="V54" t="s">
        <v>26</v>
      </c>
      <c r="W54" t="s">
        <v>25</v>
      </c>
      <c r="X54">
        <v>1</v>
      </c>
      <c r="Y54" t="s">
        <v>157</v>
      </c>
    </row>
    <row r="55" spans="1:25" x14ac:dyDescent="0.4">
      <c r="A55" s="12">
        <v>45820.870138888888</v>
      </c>
      <c r="B55" s="10">
        <v>0.87013888888888891</v>
      </c>
      <c r="C55" s="10" t="s">
        <v>216</v>
      </c>
      <c r="D55" s="7" t="s">
        <v>368</v>
      </c>
      <c r="J55" t="s">
        <v>24</v>
      </c>
      <c r="K55" s="21">
        <v>2000</v>
      </c>
      <c r="L55" s="21">
        <v>1200</v>
      </c>
      <c r="M55" s="21">
        <v>1499</v>
      </c>
      <c r="N55" s="21">
        <v>2000</v>
      </c>
      <c r="O55" s="21"/>
      <c r="P55" s="21">
        <v>1800</v>
      </c>
      <c r="Q55" s="21"/>
      <c r="V55" t="s">
        <v>26</v>
      </c>
      <c r="W55" t="s">
        <v>25</v>
      </c>
      <c r="X55">
        <v>1</v>
      </c>
      <c r="Y55" t="s">
        <v>369</v>
      </c>
    </row>
    <row r="56" spans="1:25" x14ac:dyDescent="0.4">
      <c r="A56" s="12">
        <v>45820.875694444447</v>
      </c>
      <c r="B56" s="10">
        <v>0.87569444444444444</v>
      </c>
      <c r="C56" s="10" t="s">
        <v>217</v>
      </c>
      <c r="D56" s="7" t="s">
        <v>78</v>
      </c>
      <c r="J56" t="s">
        <v>24</v>
      </c>
      <c r="K56" s="21">
        <v>2500</v>
      </c>
      <c r="L56" s="21">
        <v>1800</v>
      </c>
      <c r="M56" s="21">
        <v>1700</v>
      </c>
      <c r="N56" s="21">
        <v>2500</v>
      </c>
      <c r="O56" s="21"/>
      <c r="P56" s="21"/>
      <c r="Q56" s="21"/>
      <c r="V56" t="s">
        <v>26</v>
      </c>
      <c r="W56" t="s">
        <v>25</v>
      </c>
      <c r="X56">
        <v>1</v>
      </c>
      <c r="Y56" t="s">
        <v>158</v>
      </c>
    </row>
    <row r="57" spans="1:25" x14ac:dyDescent="0.4">
      <c r="A57" s="12">
        <v>45820.881249999999</v>
      </c>
      <c r="B57" s="10">
        <v>0.88124999999999998</v>
      </c>
      <c r="C57" s="10" t="s">
        <v>218</v>
      </c>
      <c r="D57" s="7" t="s">
        <v>79</v>
      </c>
      <c r="J57" t="s">
        <v>37</v>
      </c>
      <c r="K57" s="21">
        <v>1430</v>
      </c>
      <c r="L57" s="21">
        <v>540</v>
      </c>
      <c r="M57" s="21">
        <v>990</v>
      </c>
      <c r="N57" s="21">
        <v>1475</v>
      </c>
      <c r="O57" s="21">
        <v>590</v>
      </c>
      <c r="P57" s="21">
        <v>1600</v>
      </c>
      <c r="Q57" s="21">
        <v>12800</v>
      </c>
      <c r="V57" t="s">
        <v>25</v>
      </c>
      <c r="W57" t="s">
        <v>25</v>
      </c>
      <c r="X57">
        <v>1</v>
      </c>
      <c r="Y57" t="s">
        <v>159</v>
      </c>
    </row>
    <row r="58" spans="1:25" x14ac:dyDescent="0.4">
      <c r="A58" s="12">
        <v>45820.890277777777</v>
      </c>
      <c r="B58" s="10">
        <v>0.89027777777777772</v>
      </c>
      <c r="C58" s="10" t="s">
        <v>219</v>
      </c>
      <c r="D58" s="7" t="s">
        <v>80</v>
      </c>
      <c r="J58" t="s">
        <v>35</v>
      </c>
      <c r="K58" s="21"/>
      <c r="L58" s="21"/>
      <c r="M58" s="21"/>
      <c r="N58" s="21"/>
      <c r="O58" s="21">
        <v>1000</v>
      </c>
      <c r="P58" s="21"/>
      <c r="Q58" s="21"/>
      <c r="V58" t="s">
        <v>26</v>
      </c>
      <c r="W58" t="s">
        <v>25</v>
      </c>
      <c r="X58">
        <v>1</v>
      </c>
      <c r="Y58" t="s">
        <v>160</v>
      </c>
    </row>
    <row r="59" spans="1:25" x14ac:dyDescent="0.4">
      <c r="A59" s="12">
        <v>45820.890972222223</v>
      </c>
      <c r="B59" s="10">
        <v>0.89097222222222228</v>
      </c>
      <c r="C59" s="10" t="s">
        <v>220</v>
      </c>
      <c r="D59" s="7" t="s">
        <v>81</v>
      </c>
      <c r="J59" t="s">
        <v>24</v>
      </c>
      <c r="K59" s="21">
        <v>1800</v>
      </c>
      <c r="L59" s="21">
        <v>1300</v>
      </c>
      <c r="M59" s="21">
        <v>1600</v>
      </c>
      <c r="N59" s="21">
        <v>2000</v>
      </c>
      <c r="O59" s="21"/>
      <c r="P59" s="21">
        <v>1600</v>
      </c>
      <c r="Q59" s="21"/>
      <c r="V59" t="s">
        <v>26</v>
      </c>
      <c r="W59" t="s">
        <v>25</v>
      </c>
      <c r="X59">
        <v>1</v>
      </c>
      <c r="Y59" t="s">
        <v>161</v>
      </c>
    </row>
    <row r="60" spans="1:25" x14ac:dyDescent="0.4">
      <c r="A60" s="12">
        <v>45820.895138888889</v>
      </c>
      <c r="B60" s="10">
        <v>0.89513888888888893</v>
      </c>
      <c r="C60" s="10" t="s">
        <v>221</v>
      </c>
      <c r="D60" s="7" t="s">
        <v>82</v>
      </c>
      <c r="J60" t="s">
        <v>20</v>
      </c>
      <c r="K60" s="21">
        <v>1290</v>
      </c>
      <c r="L60" s="21">
        <v>749</v>
      </c>
      <c r="M60" s="21">
        <v>949</v>
      </c>
      <c r="N60" s="21">
        <v>1290</v>
      </c>
      <c r="O60" s="21">
        <v>1590</v>
      </c>
      <c r="P60" s="21">
        <v>1788</v>
      </c>
      <c r="Q60" s="21">
        <v>13500</v>
      </c>
      <c r="V60" t="s">
        <v>25</v>
      </c>
      <c r="W60" t="s">
        <v>25</v>
      </c>
      <c r="X60">
        <v>1</v>
      </c>
      <c r="Y60" t="s">
        <v>162</v>
      </c>
    </row>
    <row r="61" spans="1:25" x14ac:dyDescent="0.4">
      <c r="A61" s="12">
        <v>45820.897916666669</v>
      </c>
      <c r="B61" s="10">
        <v>0.8979166666666667</v>
      </c>
      <c r="C61" s="10" t="s">
        <v>222</v>
      </c>
      <c r="D61" s="7" t="s">
        <v>83</v>
      </c>
      <c r="J61" t="s">
        <v>60</v>
      </c>
      <c r="K61" s="21">
        <v>1290</v>
      </c>
      <c r="L61" s="21">
        <v>870</v>
      </c>
      <c r="M61" s="21">
        <v>1080</v>
      </c>
      <c r="N61" s="21">
        <v>1620</v>
      </c>
      <c r="O61" s="21">
        <v>869</v>
      </c>
      <c r="P61" s="21">
        <v>1059</v>
      </c>
      <c r="Q61" s="21">
        <v>5315</v>
      </c>
      <c r="V61" t="s">
        <v>25</v>
      </c>
      <c r="W61" t="s">
        <v>25</v>
      </c>
      <c r="X61">
        <v>1</v>
      </c>
      <c r="Y61" t="s">
        <v>102</v>
      </c>
    </row>
    <row r="62" spans="1:25" x14ac:dyDescent="0.4">
      <c r="A62" s="12">
        <v>45820.904166666667</v>
      </c>
      <c r="B62" s="10">
        <v>0.90416666666666667</v>
      </c>
      <c r="C62" s="10" t="s">
        <v>223</v>
      </c>
      <c r="D62" s="7" t="s">
        <v>84</v>
      </c>
      <c r="J62" t="s">
        <v>35</v>
      </c>
      <c r="K62" s="21"/>
      <c r="L62" s="21"/>
      <c r="M62" s="21"/>
      <c r="N62" s="21"/>
      <c r="O62" s="21">
        <v>800</v>
      </c>
      <c r="P62" s="21"/>
      <c r="Q62" s="21"/>
      <c r="V62" t="s">
        <v>26</v>
      </c>
      <c r="W62" t="s">
        <v>25</v>
      </c>
      <c r="X62">
        <v>1</v>
      </c>
      <c r="Y62" t="s">
        <v>115</v>
      </c>
    </row>
    <row r="63" spans="1:25" x14ac:dyDescent="0.4">
      <c r="A63" s="12">
        <v>45820.904861111114</v>
      </c>
      <c r="B63" s="10">
        <v>0.90486111111111112</v>
      </c>
      <c r="C63" s="10" t="s">
        <v>224</v>
      </c>
      <c r="D63" s="7" t="s">
        <v>85</v>
      </c>
      <c r="J63" t="s">
        <v>66</v>
      </c>
      <c r="K63" s="21"/>
      <c r="L63" s="21">
        <v>1400</v>
      </c>
      <c r="M63" s="21">
        <v>1500</v>
      </c>
      <c r="N63" s="21"/>
      <c r="O63" s="21"/>
      <c r="P63" s="21">
        <v>1700</v>
      </c>
      <c r="Q63" s="21"/>
      <c r="V63" t="s">
        <v>26</v>
      </c>
      <c r="W63" t="s">
        <v>25</v>
      </c>
      <c r="X63">
        <v>1</v>
      </c>
      <c r="Y63" t="s">
        <v>103</v>
      </c>
    </row>
    <row r="64" spans="1:25" x14ac:dyDescent="0.4">
      <c r="A64" s="12">
        <v>45820.906944444447</v>
      </c>
      <c r="B64" s="10">
        <v>0.90694444444444444</v>
      </c>
      <c r="C64" s="10" t="s">
        <v>225</v>
      </c>
      <c r="D64" s="7" t="s">
        <v>86</v>
      </c>
      <c r="J64" t="s">
        <v>87</v>
      </c>
      <c r="K64" s="21"/>
      <c r="L64" s="21"/>
      <c r="M64" s="21"/>
      <c r="N64" s="21"/>
      <c r="O64" s="21"/>
      <c r="P64" s="21"/>
      <c r="Q64" s="21">
        <v>8500</v>
      </c>
      <c r="V64" t="s">
        <v>26</v>
      </c>
      <c r="W64" t="s">
        <v>25</v>
      </c>
      <c r="X64">
        <v>1</v>
      </c>
      <c r="Y64" t="s">
        <v>104</v>
      </c>
    </row>
    <row r="65" spans="1:25" x14ac:dyDescent="0.4">
      <c r="A65" s="12">
        <v>45820.90729166667</v>
      </c>
      <c r="B65" s="10">
        <v>0.90729166666666672</v>
      </c>
      <c r="C65" s="10" t="s">
        <v>226</v>
      </c>
      <c r="D65" s="7" t="s">
        <v>88</v>
      </c>
      <c r="J65" t="s">
        <v>35</v>
      </c>
      <c r="K65" s="21"/>
      <c r="L65" s="21"/>
      <c r="M65" s="21"/>
      <c r="N65" s="21"/>
      <c r="O65" s="21">
        <v>700</v>
      </c>
      <c r="P65" s="21"/>
      <c r="Q65" s="21"/>
      <c r="V65" t="s">
        <v>26</v>
      </c>
      <c r="W65" t="s">
        <v>25</v>
      </c>
      <c r="X65">
        <v>1</v>
      </c>
      <c r="Y65" t="s">
        <v>105</v>
      </c>
    </row>
    <row r="66" spans="1:25" x14ac:dyDescent="0.4">
      <c r="A66" s="12">
        <v>45820.907638888886</v>
      </c>
      <c r="B66" s="10">
        <v>0.90763888888888888</v>
      </c>
      <c r="C66" s="10" t="s">
        <v>227</v>
      </c>
      <c r="D66" s="7" t="s">
        <v>89</v>
      </c>
      <c r="J66" t="s">
        <v>87</v>
      </c>
      <c r="K66" s="21"/>
      <c r="L66" s="21"/>
      <c r="M66" s="21"/>
      <c r="N66" s="21"/>
      <c r="O66" s="21"/>
      <c r="P66" s="21"/>
      <c r="Q66" s="21">
        <v>17000</v>
      </c>
      <c r="V66" t="s">
        <v>26</v>
      </c>
      <c r="W66" t="s">
        <v>25</v>
      </c>
      <c r="X66">
        <v>1</v>
      </c>
      <c r="Y66" t="s">
        <v>106</v>
      </c>
    </row>
    <row r="67" spans="1:25" x14ac:dyDescent="0.4">
      <c r="A67" s="12">
        <v>45820.907986111109</v>
      </c>
      <c r="B67" s="10">
        <v>0.90798611111111116</v>
      </c>
      <c r="C67" s="10" t="s">
        <v>228</v>
      </c>
      <c r="D67" s="7" t="s">
        <v>90</v>
      </c>
      <c r="J67" t="s">
        <v>87</v>
      </c>
      <c r="K67" s="21"/>
      <c r="L67" s="21"/>
      <c r="M67" s="21"/>
      <c r="N67" s="21"/>
      <c r="O67" s="21"/>
      <c r="P67" s="21"/>
      <c r="Q67" s="21">
        <v>21000</v>
      </c>
      <c r="V67" t="s">
        <v>26</v>
      </c>
      <c r="W67" t="s">
        <v>25</v>
      </c>
      <c r="X67">
        <v>1</v>
      </c>
      <c r="Y67" t="s">
        <v>107</v>
      </c>
    </row>
    <row r="68" spans="1:25" x14ac:dyDescent="0.4">
      <c r="A68" s="12">
        <v>45820.908333333333</v>
      </c>
      <c r="B68" s="10">
        <v>0.90833333333333333</v>
      </c>
      <c r="C68" s="10" t="s">
        <v>229</v>
      </c>
      <c r="D68" s="7" t="s">
        <v>91</v>
      </c>
      <c r="J68" t="s">
        <v>35</v>
      </c>
      <c r="K68" s="21"/>
      <c r="L68" s="21"/>
      <c r="M68" s="21"/>
      <c r="N68" s="21"/>
      <c r="O68" s="21">
        <v>4000</v>
      </c>
      <c r="P68" s="21"/>
      <c r="Q68" s="21"/>
      <c r="V68" t="s">
        <v>26</v>
      </c>
      <c r="W68" t="s">
        <v>25</v>
      </c>
      <c r="X68">
        <v>1</v>
      </c>
      <c r="Y68" t="s">
        <v>108</v>
      </c>
    </row>
    <row r="69" spans="1:25" x14ac:dyDescent="0.4">
      <c r="A69" s="12">
        <v>45820.90902777778</v>
      </c>
      <c r="B69" s="10">
        <v>0.90902777777777777</v>
      </c>
      <c r="C69" s="10" t="s">
        <v>230</v>
      </c>
      <c r="D69" s="7" t="s">
        <v>92</v>
      </c>
      <c r="J69" t="s">
        <v>35</v>
      </c>
      <c r="K69" s="21"/>
      <c r="L69" s="21"/>
      <c r="M69" s="21"/>
      <c r="N69" s="21"/>
      <c r="O69" s="21">
        <v>2000</v>
      </c>
      <c r="P69" s="21"/>
      <c r="Q69" s="21"/>
      <c r="V69" t="s">
        <v>26</v>
      </c>
      <c r="W69" t="s">
        <v>25</v>
      </c>
      <c r="X69">
        <v>1</v>
      </c>
      <c r="Y69" t="s">
        <v>109</v>
      </c>
    </row>
    <row r="70" spans="1:25" x14ac:dyDescent="0.4">
      <c r="A70" s="12">
        <v>45820.910416666666</v>
      </c>
      <c r="B70" s="10">
        <v>0.91041666666666665</v>
      </c>
      <c r="C70" s="10" t="s">
        <v>231</v>
      </c>
      <c r="D70" s="7" t="s">
        <v>93</v>
      </c>
      <c r="J70" t="s">
        <v>21</v>
      </c>
      <c r="K70" s="21"/>
      <c r="L70" s="21"/>
      <c r="M70" s="21"/>
      <c r="N70" s="21"/>
      <c r="O70" s="21"/>
      <c r="P70" s="21"/>
      <c r="Q70" s="21">
        <v>5450</v>
      </c>
      <c r="V70" t="s">
        <v>25</v>
      </c>
      <c r="W70" t="s">
        <v>25</v>
      </c>
      <c r="X70">
        <v>1</v>
      </c>
      <c r="Y70" t="s">
        <v>110</v>
      </c>
    </row>
    <row r="71" spans="1:25" x14ac:dyDescent="0.4">
      <c r="A71" s="12">
        <v>45820.912499999999</v>
      </c>
      <c r="B71" s="10">
        <v>0.91249999999999998</v>
      </c>
      <c r="C71" s="10" t="s">
        <v>232</v>
      </c>
      <c r="D71" s="7" t="s">
        <v>94</v>
      </c>
      <c r="J71" t="s">
        <v>66</v>
      </c>
      <c r="K71" s="21"/>
      <c r="L71" s="21"/>
      <c r="M71" s="21"/>
      <c r="N71" s="21"/>
      <c r="O71" s="21"/>
      <c r="P71" s="21">
        <v>725</v>
      </c>
      <c r="Q71" s="21"/>
      <c r="V71" t="s">
        <v>26</v>
      </c>
      <c r="W71" t="s">
        <v>25</v>
      </c>
      <c r="X71">
        <v>1</v>
      </c>
      <c r="Y71" t="s">
        <v>111</v>
      </c>
    </row>
    <row r="72" spans="1:25" x14ac:dyDescent="0.4">
      <c r="A72" s="12">
        <v>45820.92291666667</v>
      </c>
      <c r="B72" s="10">
        <v>0.92291666666666672</v>
      </c>
      <c r="C72" s="10" t="s">
        <v>233</v>
      </c>
      <c r="D72" s="7" t="s">
        <v>95</v>
      </c>
      <c r="J72" t="s">
        <v>47</v>
      </c>
      <c r="K72" s="21">
        <v>1600</v>
      </c>
      <c r="L72" s="21">
        <v>1381</v>
      </c>
      <c r="M72" s="21">
        <v>1350</v>
      </c>
      <c r="N72" s="21">
        <v>1400</v>
      </c>
      <c r="O72" s="21"/>
      <c r="P72" s="21">
        <v>1399</v>
      </c>
      <c r="Q72" s="21"/>
      <c r="V72" t="s">
        <v>26</v>
      </c>
      <c r="W72" t="s">
        <v>25</v>
      </c>
      <c r="X72">
        <v>1</v>
      </c>
      <c r="Y72" t="s">
        <v>112</v>
      </c>
    </row>
    <row r="73" spans="1:25" x14ac:dyDescent="0.4">
      <c r="A73" s="12">
        <v>45820.925694444442</v>
      </c>
      <c r="B73" s="10">
        <v>0.92569444444444449</v>
      </c>
      <c r="C73" s="10" t="s">
        <v>234</v>
      </c>
      <c r="D73" s="7" t="s">
        <v>96</v>
      </c>
      <c r="J73" t="s">
        <v>35</v>
      </c>
      <c r="K73" s="21"/>
      <c r="L73" s="21"/>
      <c r="M73" s="21"/>
      <c r="N73" s="21"/>
      <c r="O73" s="21">
        <v>725</v>
      </c>
      <c r="P73" s="21"/>
      <c r="Q73" s="21"/>
      <c r="V73" t="s">
        <v>26</v>
      </c>
      <c r="W73" t="s">
        <v>25</v>
      </c>
      <c r="X73">
        <v>1</v>
      </c>
      <c r="Y73" t="s">
        <v>240</v>
      </c>
    </row>
    <row r="74" spans="1:25" x14ac:dyDescent="0.4">
      <c r="A74" s="12">
        <v>45820.926388888889</v>
      </c>
      <c r="B74" s="10">
        <v>0.92638888888888893</v>
      </c>
      <c r="C74" s="10" t="s">
        <v>235</v>
      </c>
      <c r="D74" s="7" t="s">
        <v>97</v>
      </c>
      <c r="J74" t="s">
        <v>35</v>
      </c>
      <c r="K74" s="21"/>
      <c r="L74" s="21"/>
      <c r="M74" s="21"/>
      <c r="N74" s="21"/>
      <c r="O74" s="21">
        <v>725</v>
      </c>
      <c r="P74" s="21"/>
      <c r="Q74" s="21"/>
      <c r="V74" t="s">
        <v>26</v>
      </c>
      <c r="W74" t="s">
        <v>25</v>
      </c>
      <c r="X74">
        <v>1</v>
      </c>
      <c r="Y74" t="s">
        <v>113</v>
      </c>
    </row>
    <row r="75" spans="1:25" x14ac:dyDescent="0.4">
      <c r="A75" s="12">
        <v>45820.927083333336</v>
      </c>
      <c r="B75" s="10">
        <v>0.92708333333333337</v>
      </c>
      <c r="C75" s="10" t="s">
        <v>236</v>
      </c>
      <c r="D75" s="7" t="s">
        <v>375</v>
      </c>
      <c r="J75" t="s">
        <v>20</v>
      </c>
      <c r="K75" s="21">
        <v>1290</v>
      </c>
      <c r="L75" s="21">
        <v>749</v>
      </c>
      <c r="M75" s="21">
        <v>949</v>
      </c>
      <c r="N75" s="21">
        <v>1290</v>
      </c>
      <c r="O75" s="21">
        <v>1590</v>
      </c>
      <c r="P75" s="21">
        <v>1788</v>
      </c>
      <c r="Q75" s="21">
        <v>13500</v>
      </c>
      <c r="V75" t="s">
        <v>25</v>
      </c>
      <c r="W75" t="s">
        <v>25</v>
      </c>
      <c r="X75">
        <v>1</v>
      </c>
      <c r="Y75" t="s">
        <v>374</v>
      </c>
    </row>
    <row r="76" spans="1:25" x14ac:dyDescent="0.4">
      <c r="A76" s="12">
        <v>45820.929166666669</v>
      </c>
      <c r="B76" s="10">
        <v>0.9291666666666667</v>
      </c>
      <c r="C76" s="10" t="s">
        <v>237</v>
      </c>
      <c r="D76" s="7" t="s">
        <v>98</v>
      </c>
      <c r="J76" t="s">
        <v>24</v>
      </c>
      <c r="K76" s="21">
        <v>2200</v>
      </c>
      <c r="L76" s="21">
        <v>1000</v>
      </c>
      <c r="M76" s="21">
        <v>1400</v>
      </c>
      <c r="N76" s="21">
        <v>2300</v>
      </c>
      <c r="O76" s="21">
        <v>1500</v>
      </c>
      <c r="P76" s="21">
        <v>2700</v>
      </c>
      <c r="Q76" s="21"/>
      <c r="V76" t="s">
        <v>26</v>
      </c>
      <c r="W76" t="s">
        <v>25</v>
      </c>
      <c r="X76">
        <v>1</v>
      </c>
      <c r="Y76" t="s">
        <v>114</v>
      </c>
    </row>
    <row r="77" spans="1:25" s="15" customFormat="1" x14ac:dyDescent="0.4">
      <c r="A77" s="14"/>
      <c r="D77" s="16"/>
    </row>
    <row r="78" spans="1:25" x14ac:dyDescent="0.4">
      <c r="A78" s="12">
        <v>46002</v>
      </c>
      <c r="B78" s="17">
        <v>0.69861111111111107</v>
      </c>
      <c r="C78" s="10" t="s">
        <v>335</v>
      </c>
      <c r="D78" s="8" t="s">
        <v>377</v>
      </c>
      <c r="J78" t="s">
        <v>35</v>
      </c>
      <c r="K78" s="21">
        <v>0</v>
      </c>
      <c r="L78" s="21">
        <v>0</v>
      </c>
      <c r="M78" s="21">
        <v>0</v>
      </c>
      <c r="N78" s="21">
        <v>0</v>
      </c>
      <c r="O78" s="21">
        <v>1107.6923076923078</v>
      </c>
      <c r="P78" s="21">
        <v>0</v>
      </c>
      <c r="Q78" s="21">
        <v>0</v>
      </c>
      <c r="V78" t="s">
        <v>26</v>
      </c>
      <c r="W78" t="s">
        <v>25</v>
      </c>
      <c r="X78">
        <v>2</v>
      </c>
      <c r="Y78" t="s">
        <v>376</v>
      </c>
    </row>
    <row r="79" spans="1:25" x14ac:dyDescent="0.4">
      <c r="A79" s="12">
        <v>46002</v>
      </c>
      <c r="B79" s="17">
        <v>0.7</v>
      </c>
      <c r="C79" s="10" t="s">
        <v>336</v>
      </c>
      <c r="D79" s="8" t="s">
        <v>247</v>
      </c>
      <c r="J79" t="s">
        <v>24</v>
      </c>
      <c r="K79" s="21">
        <v>1384.6153846153848</v>
      </c>
      <c r="L79" s="21">
        <v>1107.6923076923078</v>
      </c>
      <c r="M79" s="21">
        <v>1384.6153846153848</v>
      </c>
      <c r="N79" s="21">
        <v>1384.6153846153848</v>
      </c>
      <c r="O79" s="21">
        <v>0</v>
      </c>
      <c r="P79" s="21">
        <v>1661.5384615384617</v>
      </c>
      <c r="Q79" s="21">
        <v>0</v>
      </c>
      <c r="V79" t="s">
        <v>26</v>
      </c>
      <c r="W79" t="s">
        <v>25</v>
      </c>
      <c r="X79">
        <v>2</v>
      </c>
      <c r="Y79" t="s">
        <v>306</v>
      </c>
    </row>
    <row r="80" spans="1:25" x14ac:dyDescent="0.4">
      <c r="A80" s="12">
        <v>46002</v>
      </c>
      <c r="B80" s="17">
        <v>0.70277777777777772</v>
      </c>
      <c r="C80" s="10" t="s">
        <v>337</v>
      </c>
      <c r="D80" s="8" t="s">
        <v>248</v>
      </c>
      <c r="J80" t="s">
        <v>21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12830.769230769232</v>
      </c>
      <c r="V80" t="s">
        <v>25</v>
      </c>
      <c r="W80" t="s">
        <v>25</v>
      </c>
      <c r="X80">
        <v>2</v>
      </c>
      <c r="Y80" t="s">
        <v>307</v>
      </c>
    </row>
    <row r="81" spans="1:25" x14ac:dyDescent="0.4">
      <c r="A81" s="12">
        <v>46002</v>
      </c>
      <c r="B81" s="17">
        <v>0.70972222222222225</v>
      </c>
      <c r="C81" s="10" t="s">
        <v>338</v>
      </c>
      <c r="D81" s="8" t="s">
        <v>250</v>
      </c>
      <c r="J81" t="s">
        <v>66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2769.2307692307695</v>
      </c>
      <c r="Q81" s="21">
        <v>0</v>
      </c>
      <c r="V81" t="s">
        <v>26</v>
      </c>
      <c r="W81" t="s">
        <v>25</v>
      </c>
      <c r="X81">
        <v>2</v>
      </c>
      <c r="Y81" t="s">
        <v>308</v>
      </c>
    </row>
    <row r="82" spans="1:25" x14ac:dyDescent="0.4">
      <c r="A82" s="12">
        <v>46002</v>
      </c>
      <c r="B82" s="17">
        <v>0.71875</v>
      </c>
      <c r="C82" s="10" t="s">
        <v>342</v>
      </c>
      <c r="D82" s="8" t="s">
        <v>258</v>
      </c>
      <c r="J82" t="s">
        <v>21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12830.769230769232</v>
      </c>
      <c r="V82" t="s">
        <v>25</v>
      </c>
      <c r="W82" t="s">
        <v>25</v>
      </c>
      <c r="X82">
        <v>2</v>
      </c>
      <c r="Y82" t="s">
        <v>312</v>
      </c>
    </row>
    <row r="83" spans="1:25" x14ac:dyDescent="0.4">
      <c r="A83" s="12">
        <v>46002</v>
      </c>
      <c r="B83" s="17">
        <v>0.72152777777777777</v>
      </c>
      <c r="C83" s="10" t="s">
        <v>343</v>
      </c>
      <c r="D83" s="8" t="s">
        <v>261</v>
      </c>
      <c r="J83" t="s">
        <v>20</v>
      </c>
      <c r="K83" s="21">
        <v>1098.4615384615386</v>
      </c>
      <c r="L83" s="21">
        <v>900</v>
      </c>
      <c r="M83" s="21">
        <v>922.15384615384619</v>
      </c>
      <c r="N83" s="21">
        <v>1098.4615384615386</v>
      </c>
      <c r="O83" s="21">
        <v>1384.6153846153848</v>
      </c>
      <c r="P83" s="21">
        <v>2030.7692307692309</v>
      </c>
      <c r="Q83" s="21">
        <v>12913.846153846154</v>
      </c>
      <c r="V83" t="s">
        <v>25</v>
      </c>
      <c r="W83" t="s">
        <v>25</v>
      </c>
      <c r="X83">
        <v>2</v>
      </c>
      <c r="Y83" t="s">
        <v>313</v>
      </c>
    </row>
    <row r="84" spans="1:25" x14ac:dyDescent="0.4">
      <c r="A84" s="12">
        <v>46002</v>
      </c>
      <c r="B84" s="17">
        <v>0.73750000000000004</v>
      </c>
      <c r="C84" s="10" t="s">
        <v>344</v>
      </c>
      <c r="D84" s="8" t="s">
        <v>263</v>
      </c>
      <c r="J84" t="s">
        <v>35</v>
      </c>
      <c r="K84" s="21">
        <v>0</v>
      </c>
      <c r="L84" s="21">
        <v>0</v>
      </c>
      <c r="M84" s="21">
        <v>0</v>
      </c>
      <c r="N84" s="21">
        <v>0</v>
      </c>
      <c r="O84" s="21">
        <v>923.07692307692309</v>
      </c>
      <c r="P84" s="21">
        <v>0</v>
      </c>
      <c r="Q84" s="21">
        <v>0</v>
      </c>
      <c r="V84" t="s">
        <v>26</v>
      </c>
      <c r="W84" t="s">
        <v>25</v>
      </c>
      <c r="X84">
        <v>2</v>
      </c>
      <c r="Y84" t="s">
        <v>314</v>
      </c>
    </row>
    <row r="85" spans="1:25" x14ac:dyDescent="0.4">
      <c r="A85" s="12">
        <v>46002</v>
      </c>
      <c r="B85" s="17">
        <v>0.73819444444444449</v>
      </c>
      <c r="C85" s="10" t="s">
        <v>345</v>
      </c>
      <c r="D85" s="8" t="s">
        <v>265</v>
      </c>
      <c r="J85" t="s">
        <v>24</v>
      </c>
      <c r="K85" s="21">
        <v>1753.846153846154</v>
      </c>
      <c r="L85" s="21">
        <v>1107.6923076923078</v>
      </c>
      <c r="M85" s="21">
        <v>1661.5384615384617</v>
      </c>
      <c r="N85" s="21">
        <v>2769.2307692307695</v>
      </c>
      <c r="O85" s="21">
        <v>0</v>
      </c>
      <c r="P85" s="21">
        <v>0</v>
      </c>
      <c r="Q85" s="21">
        <v>9230.7692307692305</v>
      </c>
      <c r="V85" t="s">
        <v>26</v>
      </c>
      <c r="W85" t="s">
        <v>25</v>
      </c>
      <c r="X85">
        <v>2</v>
      </c>
      <c r="Y85" t="s">
        <v>315</v>
      </c>
    </row>
    <row r="86" spans="1:25" x14ac:dyDescent="0.4">
      <c r="A86" s="12">
        <v>46002</v>
      </c>
      <c r="B86" s="17">
        <v>0.74097222222222225</v>
      </c>
      <c r="C86" s="10" t="s">
        <v>346</v>
      </c>
      <c r="D86" s="8" t="s">
        <v>267</v>
      </c>
      <c r="J86" t="s">
        <v>69</v>
      </c>
      <c r="K86" s="21">
        <v>1098.4615384615386</v>
      </c>
      <c r="L86" s="21">
        <v>900</v>
      </c>
      <c r="M86" s="21">
        <v>922.15384615384619</v>
      </c>
      <c r="N86" s="21">
        <v>1098.4615384615386</v>
      </c>
      <c r="O86" s="21">
        <v>1384.6153846153848</v>
      </c>
      <c r="P86" s="21">
        <v>2030.7692307692309</v>
      </c>
      <c r="Q86" s="21">
        <v>12913.846153846154</v>
      </c>
      <c r="V86" t="s">
        <v>25</v>
      </c>
      <c r="W86" t="s">
        <v>25</v>
      </c>
      <c r="X86">
        <v>2</v>
      </c>
      <c r="Y86" t="s">
        <v>316</v>
      </c>
    </row>
    <row r="87" spans="1:25" x14ac:dyDescent="0.4">
      <c r="A87" s="12">
        <v>46002</v>
      </c>
      <c r="B87" s="17">
        <v>0.76111111111111107</v>
      </c>
      <c r="C87" s="10" t="s">
        <v>348</v>
      </c>
      <c r="D87" s="8" t="s">
        <v>271</v>
      </c>
      <c r="J87" t="s">
        <v>47</v>
      </c>
      <c r="K87" s="21">
        <v>2030.7692307692309</v>
      </c>
      <c r="L87" s="21">
        <v>2030.7692307692309</v>
      </c>
      <c r="M87" s="21">
        <v>1846.1538461538462</v>
      </c>
      <c r="N87" s="21">
        <v>0</v>
      </c>
      <c r="O87" s="21">
        <v>1846.1538461538462</v>
      </c>
      <c r="P87" s="21">
        <v>0</v>
      </c>
      <c r="Q87" s="21">
        <v>0</v>
      </c>
      <c r="V87" t="s">
        <v>26</v>
      </c>
      <c r="W87" t="s">
        <v>25</v>
      </c>
      <c r="X87">
        <v>2</v>
      </c>
      <c r="Y87" t="s">
        <v>318</v>
      </c>
    </row>
    <row r="88" spans="1:25" x14ac:dyDescent="0.4">
      <c r="A88" s="12">
        <v>46002</v>
      </c>
      <c r="B88" s="17">
        <v>0.7631944444444444</v>
      </c>
      <c r="C88" s="10" t="s">
        <v>349</v>
      </c>
      <c r="D88" s="8" t="s">
        <v>273</v>
      </c>
      <c r="J88" t="s">
        <v>24</v>
      </c>
      <c r="K88" s="21">
        <v>1753.846153846154</v>
      </c>
      <c r="L88" s="21">
        <v>1200</v>
      </c>
      <c r="M88" s="21">
        <v>1384.6153846153848</v>
      </c>
      <c r="N88" s="21">
        <v>2584.6153846153848</v>
      </c>
      <c r="O88" s="21">
        <v>1384.6153846153848</v>
      </c>
      <c r="P88" s="21">
        <v>1384.6153846153848</v>
      </c>
      <c r="Q88" s="21">
        <v>0</v>
      </c>
      <c r="V88" t="s">
        <v>26</v>
      </c>
      <c r="W88" t="s">
        <v>25</v>
      </c>
      <c r="X88">
        <v>2</v>
      </c>
      <c r="Y88" t="s">
        <v>319</v>
      </c>
    </row>
    <row r="89" spans="1:25" x14ac:dyDescent="0.4">
      <c r="A89" s="12">
        <v>46002</v>
      </c>
      <c r="B89" s="17">
        <v>0.77986111111111112</v>
      </c>
      <c r="C89" s="10" t="s">
        <v>351</v>
      </c>
      <c r="D89" s="8" t="s">
        <v>277</v>
      </c>
      <c r="J89" t="s">
        <v>47</v>
      </c>
      <c r="K89" s="21">
        <v>0</v>
      </c>
      <c r="L89" s="21">
        <v>0</v>
      </c>
      <c r="M89" s="21">
        <v>1476.9230769230769</v>
      </c>
      <c r="N89" s="21">
        <v>3692.3076923076924</v>
      </c>
      <c r="O89" s="21">
        <v>1384.6153846153848</v>
      </c>
      <c r="P89" s="21">
        <v>0</v>
      </c>
      <c r="Q89" s="21">
        <v>0</v>
      </c>
      <c r="V89" t="s">
        <v>26</v>
      </c>
      <c r="W89" t="s">
        <v>25</v>
      </c>
      <c r="X89">
        <v>2</v>
      </c>
      <c r="Y89" t="s">
        <v>321</v>
      </c>
    </row>
    <row r="90" spans="1:25" x14ac:dyDescent="0.4">
      <c r="A90" s="12">
        <v>46002</v>
      </c>
      <c r="B90" s="17">
        <v>0.79027777777777775</v>
      </c>
      <c r="C90" s="10" t="s">
        <v>354</v>
      </c>
      <c r="D90" s="8" t="s">
        <v>283</v>
      </c>
      <c r="J90" t="s">
        <v>20</v>
      </c>
      <c r="K90" s="21">
        <v>1098.4615384615386</v>
      </c>
      <c r="L90" s="21">
        <v>900</v>
      </c>
      <c r="M90" s="21">
        <v>922.15384615384619</v>
      </c>
      <c r="N90" s="21">
        <v>1098.4615384615386</v>
      </c>
      <c r="O90" s="21">
        <v>1384.6153846153848</v>
      </c>
      <c r="P90" s="21">
        <v>2030.7692307692309</v>
      </c>
      <c r="Q90" s="21">
        <v>12913.846153846154</v>
      </c>
      <c r="V90" t="s">
        <v>25</v>
      </c>
      <c r="W90" t="s">
        <v>25</v>
      </c>
      <c r="X90">
        <v>2</v>
      </c>
      <c r="Y90" t="s">
        <v>324</v>
      </c>
    </row>
    <row r="91" spans="1:25" x14ac:dyDescent="0.4">
      <c r="A91" s="12">
        <v>46002</v>
      </c>
      <c r="B91" s="17">
        <v>0.8</v>
      </c>
      <c r="C91" s="10" t="s">
        <v>355</v>
      </c>
      <c r="D91" s="8" t="s">
        <v>285</v>
      </c>
      <c r="J91" t="s">
        <v>47</v>
      </c>
      <c r="K91" s="21">
        <v>0</v>
      </c>
      <c r="L91" s="21">
        <v>830.76923076923083</v>
      </c>
      <c r="M91" s="21">
        <v>1661.5384615384617</v>
      </c>
      <c r="N91" s="21">
        <v>0</v>
      </c>
      <c r="O91" s="21">
        <v>1384.6153846153848</v>
      </c>
      <c r="P91" s="21">
        <v>0</v>
      </c>
      <c r="Q91" s="21">
        <v>0</v>
      </c>
      <c r="V91" t="s">
        <v>26</v>
      </c>
      <c r="W91" t="s">
        <v>25</v>
      </c>
      <c r="X91">
        <v>2</v>
      </c>
      <c r="Y91" t="s">
        <v>325</v>
      </c>
    </row>
    <row r="92" spans="1:25" x14ac:dyDescent="0.4">
      <c r="A92" s="12">
        <v>46002</v>
      </c>
      <c r="B92" s="17">
        <v>0.80972222222222223</v>
      </c>
      <c r="C92" s="10" t="s">
        <v>357</v>
      </c>
      <c r="D92" s="8" t="s">
        <v>289</v>
      </c>
      <c r="J92" t="s">
        <v>24</v>
      </c>
      <c r="K92" s="21">
        <v>0</v>
      </c>
      <c r="L92" s="21">
        <v>1200</v>
      </c>
      <c r="M92" s="21">
        <v>1384.6153846153848</v>
      </c>
      <c r="N92" s="21">
        <v>0</v>
      </c>
      <c r="O92" s="21">
        <v>0</v>
      </c>
      <c r="P92" s="21">
        <v>0</v>
      </c>
      <c r="Q92" s="21">
        <v>0</v>
      </c>
      <c r="V92" t="s">
        <v>26</v>
      </c>
      <c r="W92" t="s">
        <v>25</v>
      </c>
      <c r="X92">
        <v>2</v>
      </c>
      <c r="Y92" t="s">
        <v>327</v>
      </c>
    </row>
    <row r="93" spans="1:25" x14ac:dyDescent="0.4">
      <c r="A93" s="12">
        <v>46002</v>
      </c>
      <c r="B93" s="17">
        <v>0.81666666666666665</v>
      </c>
      <c r="C93" s="10" t="s">
        <v>358</v>
      </c>
      <c r="D93" s="8" t="s">
        <v>290</v>
      </c>
      <c r="J93" t="s">
        <v>24</v>
      </c>
      <c r="K93" s="21">
        <v>1753.846153846154</v>
      </c>
      <c r="L93" s="21">
        <v>1200</v>
      </c>
      <c r="M93" s="21">
        <v>1107.6923076923078</v>
      </c>
      <c r="N93" s="21">
        <v>1292.3076923076924</v>
      </c>
      <c r="O93" s="21">
        <v>0</v>
      </c>
      <c r="P93" s="21">
        <v>1366.1538461538462</v>
      </c>
      <c r="Q93" s="21">
        <v>0</v>
      </c>
      <c r="V93" t="s">
        <v>26</v>
      </c>
      <c r="W93" t="s">
        <v>25</v>
      </c>
      <c r="X93">
        <v>2</v>
      </c>
      <c r="Y93" t="s">
        <v>327</v>
      </c>
    </row>
    <row r="94" spans="1:25" x14ac:dyDescent="0.4">
      <c r="A94" s="12">
        <v>46002</v>
      </c>
      <c r="B94" s="17">
        <v>0.82222222222222219</v>
      </c>
      <c r="C94" s="10" t="s">
        <v>359</v>
      </c>
      <c r="D94" s="8" t="s">
        <v>292</v>
      </c>
      <c r="J94" t="s">
        <v>21</v>
      </c>
      <c r="K94" s="21">
        <v>0</v>
      </c>
      <c r="L94" s="21">
        <v>0</v>
      </c>
      <c r="M94" s="21">
        <v>0</v>
      </c>
      <c r="N94" s="21">
        <v>0</v>
      </c>
      <c r="O94" s="21">
        <v>0</v>
      </c>
      <c r="P94" s="21">
        <v>0</v>
      </c>
      <c r="Q94" s="21">
        <v>12830.769230769232</v>
      </c>
      <c r="V94" t="s">
        <v>25</v>
      </c>
      <c r="W94" t="s">
        <v>25</v>
      </c>
      <c r="X94">
        <v>2</v>
      </c>
      <c r="Y94" t="s">
        <v>328</v>
      </c>
    </row>
    <row r="95" spans="1:25" x14ac:dyDescent="0.4">
      <c r="A95" s="12">
        <v>46002</v>
      </c>
      <c r="B95" s="17">
        <v>0.82708333333333328</v>
      </c>
      <c r="C95" s="10" t="s">
        <v>360</v>
      </c>
      <c r="D95" s="8" t="s">
        <v>294</v>
      </c>
      <c r="J95" t="s">
        <v>24</v>
      </c>
      <c r="K95" s="21">
        <v>1476.9230769230769</v>
      </c>
      <c r="L95" s="21">
        <v>1292.3076923076924</v>
      </c>
      <c r="M95" s="21">
        <v>1476.9230769230769</v>
      </c>
      <c r="N95" s="21">
        <v>2123.0769230769233</v>
      </c>
      <c r="O95" s="21">
        <v>923.07692307692309</v>
      </c>
      <c r="P95" s="21">
        <v>1476.9230769230769</v>
      </c>
      <c r="Q95" s="21">
        <v>0</v>
      </c>
      <c r="V95" t="s">
        <v>26</v>
      </c>
      <c r="W95" t="s">
        <v>25</v>
      </c>
      <c r="X95">
        <v>2</v>
      </c>
      <c r="Y95" t="s">
        <v>329</v>
      </c>
    </row>
    <row r="96" spans="1:25" x14ac:dyDescent="0.4">
      <c r="A96" s="12">
        <v>46002</v>
      </c>
      <c r="B96" s="17">
        <v>0.83819444444444446</v>
      </c>
      <c r="C96" s="10" t="s">
        <v>361</v>
      </c>
      <c r="D96" s="8" t="s">
        <v>296</v>
      </c>
      <c r="J96" t="s">
        <v>35</v>
      </c>
      <c r="K96" s="21">
        <v>0</v>
      </c>
      <c r="L96" s="21">
        <v>2769.2307692307695</v>
      </c>
      <c r="M96" s="21">
        <v>0</v>
      </c>
      <c r="N96" s="21">
        <v>0</v>
      </c>
      <c r="O96" s="21">
        <v>1384.6153846153848</v>
      </c>
      <c r="P96" s="21">
        <v>0</v>
      </c>
      <c r="Q96" s="21">
        <v>0</v>
      </c>
      <c r="V96" t="s">
        <v>26</v>
      </c>
      <c r="W96" t="s">
        <v>25</v>
      </c>
      <c r="X96">
        <v>2</v>
      </c>
      <c r="Y96" t="s">
        <v>330</v>
      </c>
    </row>
    <row r="97" spans="1:25" x14ac:dyDescent="0.4">
      <c r="A97" s="12">
        <v>46002</v>
      </c>
      <c r="B97" s="17">
        <v>0.84027777777777779</v>
      </c>
      <c r="C97" s="10" t="s">
        <v>362</v>
      </c>
      <c r="D97" s="8" t="s">
        <v>298</v>
      </c>
      <c r="J97" t="s">
        <v>47</v>
      </c>
      <c r="K97" s="21">
        <v>2030.7692307692309</v>
      </c>
      <c r="L97" s="21">
        <v>2307.6923076923076</v>
      </c>
      <c r="M97" s="21">
        <v>2307.6923076923076</v>
      </c>
      <c r="N97" s="21">
        <v>2769.2307692307695</v>
      </c>
      <c r="O97" s="21">
        <v>1384.6153846153848</v>
      </c>
      <c r="P97" s="21">
        <v>0</v>
      </c>
      <c r="Q97" s="21">
        <v>0</v>
      </c>
      <c r="V97" t="s">
        <v>26</v>
      </c>
      <c r="W97" t="s">
        <v>25</v>
      </c>
      <c r="X97">
        <v>2</v>
      </c>
      <c r="Y97" t="s">
        <v>331</v>
      </c>
    </row>
    <row r="98" spans="1:25" x14ac:dyDescent="0.4">
      <c r="A98" s="12">
        <v>46002</v>
      </c>
      <c r="B98" s="17">
        <v>0.85069444444444442</v>
      </c>
      <c r="C98" s="10" t="s">
        <v>364</v>
      </c>
      <c r="D98" s="8" t="s">
        <v>302</v>
      </c>
      <c r="J98" t="s">
        <v>37</v>
      </c>
      <c r="K98" s="21">
        <v>1190.7692307692309</v>
      </c>
      <c r="L98" s="21">
        <v>872.30769230769238</v>
      </c>
      <c r="M98" s="21">
        <v>1006.1538461538462</v>
      </c>
      <c r="N98" s="21">
        <v>1130.7692307692309</v>
      </c>
      <c r="O98" s="21">
        <v>821.53846153846155</v>
      </c>
      <c r="P98" s="21">
        <v>1797.6923076923078</v>
      </c>
      <c r="Q98" s="21">
        <v>14400</v>
      </c>
      <c r="V98" t="s">
        <v>25</v>
      </c>
      <c r="W98" t="s">
        <v>25</v>
      </c>
      <c r="X98">
        <v>2</v>
      </c>
      <c r="Y98" t="s">
        <v>333</v>
      </c>
    </row>
    <row r="99" spans="1:25" x14ac:dyDescent="0.4">
      <c r="A99" s="12">
        <v>46002</v>
      </c>
      <c r="B99" s="17">
        <v>0.85347222222222219</v>
      </c>
      <c r="C99" s="10" t="s">
        <v>365</v>
      </c>
      <c r="D99" s="8" t="s">
        <v>304</v>
      </c>
      <c r="J99" t="s">
        <v>35</v>
      </c>
      <c r="K99" s="21">
        <v>0</v>
      </c>
      <c r="L99" s="21">
        <v>0</v>
      </c>
      <c r="M99" s="21">
        <v>0</v>
      </c>
      <c r="N99" s="21">
        <v>0</v>
      </c>
      <c r="O99" s="21">
        <v>1846.1538461538462</v>
      </c>
      <c r="P99" s="21">
        <v>0</v>
      </c>
      <c r="Q99" s="21">
        <v>0</v>
      </c>
      <c r="V99" t="s">
        <v>26</v>
      </c>
      <c r="W99" t="s">
        <v>25</v>
      </c>
      <c r="X99">
        <v>2</v>
      </c>
      <c r="Y99" t="s">
        <v>334</v>
      </c>
    </row>
    <row r="100" spans="1:25" s="15" customFormat="1" x14ac:dyDescent="0.4">
      <c r="A100" s="14"/>
      <c r="D100" s="16"/>
    </row>
    <row r="101" spans="1:25" x14ac:dyDescent="0.4">
      <c r="X101">
        <v>3</v>
      </c>
    </row>
    <row r="102" spans="1:25" x14ac:dyDescent="0.4">
      <c r="X102">
        <v>3</v>
      </c>
    </row>
    <row r="103" spans="1:25" x14ac:dyDescent="0.4">
      <c r="X103">
        <v>3</v>
      </c>
    </row>
    <row r="104" spans="1:25" x14ac:dyDescent="0.4">
      <c r="X104">
        <v>3</v>
      </c>
    </row>
    <row r="105" spans="1:25" x14ac:dyDescent="0.4">
      <c r="X105">
        <v>3</v>
      </c>
    </row>
    <row r="106" spans="1:25" x14ac:dyDescent="0.4">
      <c r="X106">
        <v>3</v>
      </c>
    </row>
    <row r="107" spans="1:25" x14ac:dyDescent="0.4">
      <c r="X107">
        <v>3</v>
      </c>
    </row>
    <row r="108" spans="1:25" x14ac:dyDescent="0.4">
      <c r="X108">
        <v>3</v>
      </c>
    </row>
    <row r="109" spans="1:25" x14ac:dyDescent="0.4">
      <c r="X109">
        <v>3</v>
      </c>
    </row>
    <row r="110" spans="1:25" x14ac:dyDescent="0.4">
      <c r="X11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78FE3-304A-4543-A16B-BC1CE46BCA57}">
  <dimension ref="A1:AB110"/>
  <sheetViews>
    <sheetView topLeftCell="C1" workbookViewId="0">
      <pane ySplit="1" topLeftCell="A2" activePane="bottomLeft" state="frozen"/>
      <selection pane="bottomLeft" activeCell="Y13" sqref="Y13"/>
    </sheetView>
  </sheetViews>
  <sheetFormatPr baseColWidth="10" defaultColWidth="0" defaultRowHeight="14.6" x14ac:dyDescent="0.4"/>
  <cols>
    <col min="1" max="1" width="12" style="12" bestFit="1" customWidth="1"/>
    <col min="2" max="2" width="11.3828125" customWidth="1"/>
    <col min="3" max="3" width="8.53515625" bestFit="1" customWidth="1"/>
    <col min="4" max="4" width="10.53515625" style="8" customWidth="1"/>
    <col min="5" max="9" width="1.69140625" customWidth="1"/>
    <col min="10" max="10" width="11.3046875" customWidth="1"/>
    <col min="11" max="16" width="11.07421875" customWidth="1"/>
    <col min="17" max="17" width="9.53515625" customWidth="1"/>
    <col min="18" max="21" width="1.4609375" customWidth="1"/>
    <col min="22" max="22" width="5" bestFit="1" customWidth="1"/>
    <col min="23" max="23" width="6.07421875" bestFit="1" customWidth="1"/>
    <col min="24" max="24" width="6.07421875" customWidth="1"/>
    <col min="25" max="25" width="44.23046875" bestFit="1" customWidth="1"/>
    <col min="26" max="26" width="11.07421875" customWidth="1"/>
    <col min="27" max="28" width="0" hidden="1" customWidth="1"/>
    <col min="29" max="16384" width="11.07421875" hidden="1"/>
  </cols>
  <sheetData>
    <row r="1" spans="1:26" s="4" customFormat="1" ht="40.5" customHeight="1" x14ac:dyDescent="0.4">
      <c r="A1" s="13" t="s">
        <v>99</v>
      </c>
      <c r="B1" s="11" t="s">
        <v>53</v>
      </c>
      <c r="C1" s="11" t="s">
        <v>241</v>
      </c>
      <c r="D1" s="6" t="s">
        <v>18</v>
      </c>
      <c r="E1" s="1" t="s">
        <v>242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244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245</v>
      </c>
      <c r="W1" s="3" t="s">
        <v>15</v>
      </c>
      <c r="X1" s="3" t="s">
        <v>260</v>
      </c>
      <c r="Y1" s="3" t="s">
        <v>238</v>
      </c>
      <c r="Z1" s="3" t="s">
        <v>16</v>
      </c>
    </row>
    <row r="2" spans="1:26" x14ac:dyDescent="0.4">
      <c r="A2" s="12">
        <v>45818.952777777777</v>
      </c>
      <c r="B2" s="10">
        <v>0.95277777777777772</v>
      </c>
      <c r="C2" s="10" t="s">
        <v>163</v>
      </c>
      <c r="D2" s="7" t="s">
        <v>17</v>
      </c>
      <c r="J2" t="s">
        <v>20</v>
      </c>
      <c r="K2" s="21">
        <v>1485</v>
      </c>
      <c r="L2" s="21">
        <v>749</v>
      </c>
      <c r="M2" s="21">
        <v>1050</v>
      </c>
      <c r="N2" s="21">
        <v>1690</v>
      </c>
      <c r="O2" s="21">
        <v>1490</v>
      </c>
      <c r="P2" s="21">
        <v>1790</v>
      </c>
      <c r="Q2" s="22"/>
      <c r="V2" t="s">
        <v>25</v>
      </c>
      <c r="W2" t="s">
        <v>25</v>
      </c>
      <c r="X2">
        <v>1</v>
      </c>
      <c r="Y2" t="s">
        <v>100</v>
      </c>
    </row>
    <row r="3" spans="1:26" x14ac:dyDescent="0.4">
      <c r="A3" s="12">
        <v>45818.954861111109</v>
      </c>
      <c r="B3" s="10">
        <v>0.95486111111111116</v>
      </c>
      <c r="C3" s="10" t="s">
        <v>164</v>
      </c>
      <c r="D3" s="7" t="s">
        <v>19</v>
      </c>
      <c r="J3" t="s">
        <v>21</v>
      </c>
      <c r="K3" s="21"/>
      <c r="L3" s="21"/>
      <c r="M3" s="21"/>
      <c r="N3" s="21"/>
      <c r="O3" s="21"/>
      <c r="P3" s="21"/>
      <c r="Q3" s="21">
        <v>5450</v>
      </c>
      <c r="V3" t="s">
        <v>25</v>
      </c>
      <c r="W3" t="s">
        <v>25</v>
      </c>
      <c r="X3">
        <v>1</v>
      </c>
      <c r="Y3" t="s">
        <v>101</v>
      </c>
    </row>
    <row r="4" spans="1:26" x14ac:dyDescent="0.4">
      <c r="A4" s="12">
        <v>45818.956250000003</v>
      </c>
      <c r="B4" s="10">
        <v>0.95625000000000004</v>
      </c>
      <c r="C4" s="10" t="s">
        <v>165</v>
      </c>
      <c r="D4" s="7" t="s">
        <v>22</v>
      </c>
      <c r="J4" t="s">
        <v>47</v>
      </c>
      <c r="K4" s="21"/>
      <c r="L4" s="21"/>
      <c r="M4" s="21"/>
      <c r="N4" s="21">
        <v>1800</v>
      </c>
      <c r="O4" s="21">
        <v>750</v>
      </c>
      <c r="P4" s="21">
        <v>1500</v>
      </c>
      <c r="Q4" s="21"/>
      <c r="V4" t="s">
        <v>26</v>
      </c>
      <c r="W4" t="s">
        <v>25</v>
      </c>
      <c r="X4">
        <v>1</v>
      </c>
      <c r="Y4" t="s">
        <v>116</v>
      </c>
    </row>
    <row r="5" spans="1:26" x14ac:dyDescent="0.4">
      <c r="A5" s="12">
        <v>45818.958333333336</v>
      </c>
      <c r="B5" s="10">
        <v>0.95833333333333337</v>
      </c>
      <c r="C5" s="10" t="s">
        <v>166</v>
      </c>
      <c r="D5" s="7" t="s">
        <v>23</v>
      </c>
      <c r="J5" t="s">
        <v>24</v>
      </c>
      <c r="K5" s="21">
        <v>1300</v>
      </c>
      <c r="L5" s="21">
        <v>800</v>
      </c>
      <c r="M5" s="21">
        <v>900</v>
      </c>
      <c r="N5" s="21">
        <v>1400</v>
      </c>
      <c r="O5" s="21"/>
      <c r="P5" s="21">
        <v>1200</v>
      </c>
      <c r="Q5" s="21"/>
      <c r="V5" t="s">
        <v>26</v>
      </c>
      <c r="W5" t="s">
        <v>25</v>
      </c>
      <c r="X5">
        <v>1</v>
      </c>
      <c r="Y5" t="s">
        <v>117</v>
      </c>
    </row>
    <row r="6" spans="1:26" x14ac:dyDescent="0.4">
      <c r="A6" s="12">
        <v>45818.960416666669</v>
      </c>
      <c r="B6" s="10">
        <v>0.9604166666666667</v>
      </c>
      <c r="C6" s="10" t="s">
        <v>167</v>
      </c>
      <c r="D6" s="7" t="s">
        <v>27</v>
      </c>
      <c r="J6" t="s">
        <v>28</v>
      </c>
      <c r="K6" s="21"/>
      <c r="L6" s="21"/>
      <c r="M6" s="21"/>
      <c r="N6" s="21"/>
      <c r="O6" s="21"/>
      <c r="P6" s="21">
        <v>1950</v>
      </c>
      <c r="Q6" s="21"/>
      <c r="V6" t="s">
        <v>25</v>
      </c>
      <c r="W6" t="s">
        <v>25</v>
      </c>
      <c r="X6">
        <v>1</v>
      </c>
      <c r="Y6" t="s">
        <v>118</v>
      </c>
    </row>
    <row r="7" spans="1:26" x14ac:dyDescent="0.4">
      <c r="A7" s="12">
        <v>45818.961111111108</v>
      </c>
      <c r="B7" s="10">
        <v>0.96111111111111114</v>
      </c>
      <c r="C7" s="10" t="s">
        <v>168</v>
      </c>
      <c r="D7" s="7" t="s">
        <v>29</v>
      </c>
      <c r="J7" t="s">
        <v>20</v>
      </c>
      <c r="K7" s="21">
        <v>1290</v>
      </c>
      <c r="L7" s="21">
        <v>749</v>
      </c>
      <c r="M7" s="21">
        <v>949</v>
      </c>
      <c r="N7" s="21">
        <v>1400</v>
      </c>
      <c r="O7" s="21">
        <v>1490</v>
      </c>
      <c r="P7" s="21">
        <v>1790</v>
      </c>
      <c r="Q7" s="22"/>
      <c r="V7" t="s">
        <v>25</v>
      </c>
      <c r="W7" t="s">
        <v>25</v>
      </c>
      <c r="X7">
        <v>1</v>
      </c>
      <c r="Y7" t="s">
        <v>119</v>
      </c>
    </row>
    <row r="8" spans="1:26" x14ac:dyDescent="0.4">
      <c r="A8" s="12">
        <v>45818.96597222222</v>
      </c>
      <c r="B8" s="10">
        <v>0.96597222222222223</v>
      </c>
      <c r="C8" s="10" t="s">
        <v>169</v>
      </c>
      <c r="D8" s="7" t="s">
        <v>30</v>
      </c>
      <c r="J8" t="s">
        <v>21</v>
      </c>
      <c r="K8" s="21"/>
      <c r="L8" s="21"/>
      <c r="M8" s="21"/>
      <c r="N8" s="21"/>
      <c r="O8" s="21"/>
      <c r="P8" s="21"/>
      <c r="Q8" s="21">
        <v>5450</v>
      </c>
      <c r="V8" t="s">
        <v>25</v>
      </c>
      <c r="W8" t="s">
        <v>25</v>
      </c>
      <c r="X8">
        <v>1</v>
      </c>
      <c r="Y8" t="s">
        <v>120</v>
      </c>
    </row>
    <row r="9" spans="1:26" x14ac:dyDescent="0.4">
      <c r="A9" s="12">
        <v>45818.966666666667</v>
      </c>
      <c r="B9" s="10">
        <v>0.96666666666666667</v>
      </c>
      <c r="C9" s="10" t="s">
        <v>170</v>
      </c>
      <c r="D9" s="7" t="s">
        <v>31</v>
      </c>
      <c r="J9" t="s">
        <v>47</v>
      </c>
      <c r="K9" s="21">
        <v>2400</v>
      </c>
      <c r="L9" s="21">
        <v>1300</v>
      </c>
      <c r="M9" s="21">
        <v>1600</v>
      </c>
      <c r="N9" s="21">
        <v>2400</v>
      </c>
      <c r="O9" s="21"/>
      <c r="P9" s="21">
        <v>1700</v>
      </c>
      <c r="Q9" s="21"/>
      <c r="V9" t="s">
        <v>26</v>
      </c>
      <c r="W9" t="s">
        <v>25</v>
      </c>
      <c r="X9">
        <v>1</v>
      </c>
      <c r="Y9" t="s">
        <v>121</v>
      </c>
    </row>
    <row r="10" spans="1:26" x14ac:dyDescent="0.4">
      <c r="A10" s="12">
        <v>45818.968055555553</v>
      </c>
      <c r="B10" s="10">
        <v>0.96805555555555556</v>
      </c>
      <c r="C10" s="10" t="s">
        <v>171</v>
      </c>
      <c r="D10" s="7" t="s">
        <v>32</v>
      </c>
      <c r="J10" t="s">
        <v>20</v>
      </c>
      <c r="K10" s="21">
        <v>1290</v>
      </c>
      <c r="L10" s="21">
        <v>749</v>
      </c>
      <c r="M10" s="21">
        <v>899</v>
      </c>
      <c r="N10" s="21">
        <v>1290</v>
      </c>
      <c r="O10" s="21">
        <v>1490</v>
      </c>
      <c r="P10" s="21">
        <v>1785</v>
      </c>
      <c r="Q10" s="22"/>
      <c r="V10" t="s">
        <v>25</v>
      </c>
      <c r="W10" t="s">
        <v>25</v>
      </c>
      <c r="X10">
        <v>1</v>
      </c>
      <c r="Y10" t="s">
        <v>122</v>
      </c>
    </row>
    <row r="11" spans="1:26" x14ac:dyDescent="0.4">
      <c r="A11" s="12">
        <v>45818.974305555559</v>
      </c>
      <c r="B11" s="10">
        <v>0.97430555555555554</v>
      </c>
      <c r="C11" s="10" t="s">
        <v>172</v>
      </c>
      <c r="D11" s="7" t="s">
        <v>33</v>
      </c>
      <c r="J11" t="s">
        <v>24</v>
      </c>
      <c r="K11" s="21">
        <v>1800</v>
      </c>
      <c r="L11" s="21">
        <v>1500</v>
      </c>
      <c r="M11" s="21">
        <v>1300</v>
      </c>
      <c r="N11" s="21">
        <v>1000</v>
      </c>
      <c r="O11" s="21"/>
      <c r="P11" s="21">
        <v>1000</v>
      </c>
      <c r="Q11" s="21"/>
      <c r="V11" t="s">
        <v>26</v>
      </c>
      <c r="W11" t="s">
        <v>25</v>
      </c>
      <c r="X11">
        <v>1</v>
      </c>
      <c r="Y11" t="s">
        <v>123</v>
      </c>
    </row>
    <row r="12" spans="1:26" x14ac:dyDescent="0.4">
      <c r="A12" s="12">
        <v>45818.976388888892</v>
      </c>
      <c r="B12" s="10">
        <v>0.97638888888888886</v>
      </c>
      <c r="C12" s="10" t="s">
        <v>173</v>
      </c>
      <c r="D12" s="7" t="s">
        <v>34</v>
      </c>
      <c r="J12" t="s">
        <v>35</v>
      </c>
      <c r="K12" s="21"/>
      <c r="L12" s="21"/>
      <c r="M12" s="21"/>
      <c r="N12" s="21"/>
      <c r="O12" s="21">
        <v>1000</v>
      </c>
      <c r="P12" s="21"/>
      <c r="Q12" s="21"/>
      <c r="V12" t="s">
        <v>26</v>
      </c>
      <c r="W12" t="s">
        <v>25</v>
      </c>
      <c r="X12">
        <v>1</v>
      </c>
      <c r="Y12" t="s">
        <v>124</v>
      </c>
    </row>
    <row r="13" spans="1:26" x14ac:dyDescent="0.4">
      <c r="A13" s="12">
        <v>45818.977777777778</v>
      </c>
      <c r="B13" s="10">
        <v>0.97777777777777775</v>
      </c>
      <c r="C13" s="10" t="s">
        <v>174</v>
      </c>
      <c r="D13" s="7" t="s">
        <v>391</v>
      </c>
      <c r="J13" t="s">
        <v>47</v>
      </c>
      <c r="K13" s="21"/>
      <c r="L13" s="21">
        <v>1800</v>
      </c>
      <c r="M13" s="21">
        <v>2000</v>
      </c>
      <c r="N13" s="21"/>
      <c r="O13" s="21"/>
      <c r="P13" s="21">
        <v>1300</v>
      </c>
      <c r="Q13" s="21"/>
      <c r="V13" t="s">
        <v>26</v>
      </c>
      <c r="W13" t="s">
        <v>25</v>
      </c>
      <c r="X13">
        <v>1</v>
      </c>
      <c r="Y13" t="s">
        <v>390</v>
      </c>
    </row>
    <row r="14" spans="1:26" x14ac:dyDescent="0.4">
      <c r="A14" s="12">
        <v>45818.978472222225</v>
      </c>
      <c r="B14" s="10">
        <v>0.97847222222222219</v>
      </c>
      <c r="C14" s="10" t="s">
        <v>175</v>
      </c>
      <c r="D14" s="7" t="s">
        <v>36</v>
      </c>
      <c r="J14" t="s">
        <v>37</v>
      </c>
      <c r="K14" s="21">
        <v>1740</v>
      </c>
      <c r="L14" s="21">
        <v>790</v>
      </c>
      <c r="M14" s="21">
        <v>990</v>
      </c>
      <c r="N14" s="21">
        <v>1190</v>
      </c>
      <c r="O14" s="22"/>
      <c r="P14" s="23">
        <v>2410</v>
      </c>
      <c r="Q14" s="22"/>
      <c r="V14" t="s">
        <v>25</v>
      </c>
      <c r="W14" t="s">
        <v>25</v>
      </c>
      <c r="X14">
        <v>1</v>
      </c>
      <c r="Y14" t="s">
        <v>125</v>
      </c>
    </row>
    <row r="15" spans="1:26" x14ac:dyDescent="0.4">
      <c r="A15" s="12">
        <v>45818.981249999997</v>
      </c>
      <c r="B15" s="10">
        <v>0.98124999999999996</v>
      </c>
      <c r="C15" s="10" t="s">
        <v>176</v>
      </c>
      <c r="D15" s="7" t="s">
        <v>38</v>
      </c>
      <c r="J15" t="s">
        <v>47</v>
      </c>
      <c r="K15" s="21"/>
      <c r="L15" s="21"/>
      <c r="M15" s="21"/>
      <c r="N15" s="21">
        <v>1800</v>
      </c>
      <c r="O15" s="21">
        <v>1000</v>
      </c>
      <c r="P15" s="21"/>
      <c r="Q15" s="21"/>
      <c r="V15" t="s">
        <v>26</v>
      </c>
      <c r="W15" t="s">
        <v>25</v>
      </c>
      <c r="X15">
        <v>1</v>
      </c>
      <c r="Y15" t="s">
        <v>126</v>
      </c>
    </row>
    <row r="16" spans="1:26" x14ac:dyDescent="0.4">
      <c r="A16" s="12">
        <v>45818.982638888891</v>
      </c>
      <c r="B16" s="10">
        <v>0.98263888888888884</v>
      </c>
      <c r="C16" s="10" t="s">
        <v>177</v>
      </c>
      <c r="D16" s="7" t="s">
        <v>39</v>
      </c>
      <c r="J16" t="s">
        <v>20</v>
      </c>
      <c r="K16" s="21">
        <v>1290</v>
      </c>
      <c r="L16" s="21">
        <v>749</v>
      </c>
      <c r="M16" s="21">
        <v>899</v>
      </c>
      <c r="N16" s="21">
        <v>1290</v>
      </c>
      <c r="O16" s="21">
        <v>1490</v>
      </c>
      <c r="P16" s="21">
        <v>1785</v>
      </c>
      <c r="Q16" s="22"/>
      <c r="V16" t="s">
        <v>25</v>
      </c>
      <c r="W16" t="s">
        <v>25</v>
      </c>
      <c r="X16">
        <v>1</v>
      </c>
      <c r="Y16" t="s">
        <v>127</v>
      </c>
    </row>
    <row r="17" spans="1:25" x14ac:dyDescent="0.4">
      <c r="A17" s="12">
        <v>45818.986111111109</v>
      </c>
      <c r="B17" s="10">
        <v>0.98611111111111116</v>
      </c>
      <c r="C17" s="10" t="s">
        <v>178</v>
      </c>
      <c r="D17" s="7" t="s">
        <v>40</v>
      </c>
      <c r="J17" t="s">
        <v>47</v>
      </c>
      <c r="K17" s="21">
        <v>1900</v>
      </c>
      <c r="L17" s="21">
        <v>1300</v>
      </c>
      <c r="M17" s="21">
        <v>1400</v>
      </c>
      <c r="N17" s="21">
        <v>2600</v>
      </c>
      <c r="O17" s="21"/>
      <c r="P17" s="21">
        <v>1035</v>
      </c>
      <c r="Q17" s="21"/>
      <c r="V17" t="s">
        <v>26</v>
      </c>
      <c r="W17" t="s">
        <v>25</v>
      </c>
      <c r="X17">
        <v>1</v>
      </c>
      <c r="Y17" t="s">
        <v>128</v>
      </c>
    </row>
    <row r="18" spans="1:25" x14ac:dyDescent="0.4">
      <c r="A18" s="12">
        <v>45818.990277777775</v>
      </c>
      <c r="B18" s="10">
        <v>0.99027777777777781</v>
      </c>
      <c r="C18" s="10" t="s">
        <v>179</v>
      </c>
      <c r="D18" s="7" t="s">
        <v>41</v>
      </c>
      <c r="J18" t="s">
        <v>66</v>
      </c>
      <c r="K18" s="21"/>
      <c r="L18" s="21"/>
      <c r="M18" s="21"/>
      <c r="N18" s="21">
        <v>2200</v>
      </c>
      <c r="O18" s="21">
        <v>900</v>
      </c>
      <c r="P18" s="21">
        <v>1742</v>
      </c>
      <c r="Q18" s="21"/>
      <c r="V18" t="s">
        <v>26</v>
      </c>
      <c r="W18" t="s">
        <v>25</v>
      </c>
      <c r="X18">
        <v>1</v>
      </c>
      <c r="Y18" t="s">
        <v>129</v>
      </c>
    </row>
    <row r="19" spans="1:25" x14ac:dyDescent="0.4">
      <c r="A19" s="12">
        <v>45818.990972222222</v>
      </c>
      <c r="B19" s="10">
        <v>0.99097222222222225</v>
      </c>
      <c r="C19" s="10" t="s">
        <v>180</v>
      </c>
      <c r="D19" s="7" t="s">
        <v>42</v>
      </c>
      <c r="J19" t="s">
        <v>20</v>
      </c>
      <c r="K19" s="21">
        <v>1290</v>
      </c>
      <c r="L19" s="21">
        <v>749</v>
      </c>
      <c r="M19" s="21">
        <v>899</v>
      </c>
      <c r="N19" s="21">
        <v>1290</v>
      </c>
      <c r="O19" s="21">
        <v>1490</v>
      </c>
      <c r="P19" s="21">
        <v>1785</v>
      </c>
      <c r="Q19" s="22"/>
      <c r="V19" t="s">
        <v>25</v>
      </c>
      <c r="W19" t="s">
        <v>25</v>
      </c>
      <c r="X19">
        <v>1</v>
      </c>
      <c r="Y19" t="s">
        <v>130</v>
      </c>
    </row>
    <row r="20" spans="1:25" x14ac:dyDescent="0.4">
      <c r="A20" s="12">
        <v>45818.996527777781</v>
      </c>
      <c r="B20" s="10">
        <v>0.99652777777777779</v>
      </c>
      <c r="C20" s="10" t="s">
        <v>181</v>
      </c>
      <c r="D20" s="7" t="s">
        <v>43</v>
      </c>
      <c r="J20" t="s">
        <v>24</v>
      </c>
      <c r="K20" s="21">
        <v>1700</v>
      </c>
      <c r="L20" s="21">
        <v>900</v>
      </c>
      <c r="M20" s="21">
        <v>1300</v>
      </c>
      <c r="N20" s="21">
        <v>1200</v>
      </c>
      <c r="O20" s="21">
        <v>1000</v>
      </c>
      <c r="P20" s="21">
        <v>1600</v>
      </c>
      <c r="Q20" s="21">
        <v>8600</v>
      </c>
      <c r="V20" t="s">
        <v>26</v>
      </c>
      <c r="W20" t="s">
        <v>25</v>
      </c>
      <c r="X20">
        <v>1</v>
      </c>
      <c r="Y20" t="s">
        <v>131</v>
      </c>
    </row>
    <row r="21" spans="1:25" x14ac:dyDescent="0.4">
      <c r="A21" s="12">
        <v>45818.999305555553</v>
      </c>
      <c r="B21" s="10">
        <v>0.99930555555555556</v>
      </c>
      <c r="C21" s="10" t="s">
        <v>182</v>
      </c>
      <c r="D21" s="7" t="s">
        <v>44</v>
      </c>
      <c r="J21" t="s">
        <v>35</v>
      </c>
      <c r="K21" s="21"/>
      <c r="L21" s="21"/>
      <c r="M21" s="21"/>
      <c r="N21" s="21"/>
      <c r="O21" s="21">
        <v>1000</v>
      </c>
      <c r="P21" s="21"/>
      <c r="Q21" s="21"/>
      <c r="V21" t="s">
        <v>26</v>
      </c>
      <c r="W21" t="s">
        <v>25</v>
      </c>
      <c r="X21">
        <v>1</v>
      </c>
      <c r="Y21" t="s">
        <v>132</v>
      </c>
    </row>
    <row r="22" spans="1:25" x14ac:dyDescent="0.4">
      <c r="A22" s="12">
        <v>45819</v>
      </c>
      <c r="B22" s="10">
        <v>0</v>
      </c>
      <c r="C22" s="10" t="s">
        <v>183</v>
      </c>
      <c r="D22" s="7" t="s">
        <v>45</v>
      </c>
      <c r="J22" t="s">
        <v>37</v>
      </c>
      <c r="K22" s="21">
        <v>1390</v>
      </c>
      <c r="L22" s="21">
        <v>790</v>
      </c>
      <c r="M22" s="21">
        <v>990</v>
      </c>
      <c r="N22" s="21">
        <v>1600</v>
      </c>
      <c r="O22" s="22"/>
      <c r="P22" s="23">
        <v>2145</v>
      </c>
      <c r="Q22" s="22"/>
      <c r="V22" t="s">
        <v>25</v>
      </c>
      <c r="W22" t="s">
        <v>25</v>
      </c>
      <c r="X22">
        <v>1</v>
      </c>
      <c r="Y22" t="s">
        <v>239</v>
      </c>
    </row>
    <row r="23" spans="1:25" x14ac:dyDescent="0.4">
      <c r="A23" s="12">
        <v>45819.00277777778</v>
      </c>
      <c r="B23" s="10">
        <v>2.7777777777777779E-3</v>
      </c>
      <c r="C23" s="10" t="s">
        <v>184</v>
      </c>
      <c r="D23" s="7" t="s">
        <v>46</v>
      </c>
      <c r="J23" t="s">
        <v>47</v>
      </c>
      <c r="K23" s="21"/>
      <c r="L23" s="21"/>
      <c r="M23" s="21">
        <v>1500</v>
      </c>
      <c r="N23" s="21">
        <v>1800</v>
      </c>
      <c r="O23" s="21"/>
      <c r="P23" s="21"/>
      <c r="Q23" s="21"/>
      <c r="V23" t="s">
        <v>26</v>
      </c>
      <c r="W23" t="s">
        <v>25</v>
      </c>
      <c r="X23">
        <v>1</v>
      </c>
      <c r="Y23" t="s">
        <v>133</v>
      </c>
    </row>
    <row r="24" spans="1:25" x14ac:dyDescent="0.4">
      <c r="A24" s="12">
        <v>45819.003472222219</v>
      </c>
      <c r="B24" s="10">
        <v>3.472222222222222E-3</v>
      </c>
      <c r="C24" s="10" t="s">
        <v>185</v>
      </c>
      <c r="D24" s="7" t="s">
        <v>48</v>
      </c>
      <c r="J24" t="s">
        <v>35</v>
      </c>
      <c r="K24" s="21"/>
      <c r="L24" s="21"/>
      <c r="M24" s="21"/>
      <c r="N24" s="21"/>
      <c r="O24" s="21">
        <v>800</v>
      </c>
      <c r="P24" s="21"/>
      <c r="Q24" s="21"/>
      <c r="V24" t="s">
        <v>26</v>
      </c>
      <c r="W24" t="s">
        <v>25</v>
      </c>
      <c r="X24">
        <v>1</v>
      </c>
      <c r="Y24" t="s">
        <v>134</v>
      </c>
    </row>
    <row r="25" spans="1:25" x14ac:dyDescent="0.4">
      <c r="A25" s="12">
        <v>45819.004861111112</v>
      </c>
      <c r="B25" s="10">
        <v>4.8611111111111112E-3</v>
      </c>
      <c r="C25" s="10" t="s">
        <v>186</v>
      </c>
      <c r="D25" s="7" t="s">
        <v>49</v>
      </c>
      <c r="J25" t="s">
        <v>47</v>
      </c>
      <c r="K25" s="21"/>
      <c r="L25" s="21">
        <v>2500</v>
      </c>
      <c r="M25" s="21"/>
      <c r="N25" s="21">
        <v>2000</v>
      </c>
      <c r="O25" s="21"/>
      <c r="P25" s="21"/>
      <c r="Q25" s="21"/>
      <c r="V25" t="s">
        <v>26</v>
      </c>
      <c r="W25" t="s">
        <v>25</v>
      </c>
      <c r="X25">
        <v>1</v>
      </c>
      <c r="Y25" t="s">
        <v>135</v>
      </c>
    </row>
    <row r="26" spans="1:25" x14ac:dyDescent="0.4">
      <c r="A26" s="12">
        <v>45819.005555555559</v>
      </c>
      <c r="B26" s="10">
        <v>5.5555555555555558E-3</v>
      </c>
      <c r="C26" s="10" t="s">
        <v>187</v>
      </c>
      <c r="D26" s="7" t="s">
        <v>50</v>
      </c>
      <c r="J26" t="s">
        <v>47</v>
      </c>
      <c r="K26" s="21"/>
      <c r="L26" s="21"/>
      <c r="M26" s="21">
        <v>1100</v>
      </c>
      <c r="N26" s="21">
        <v>1800</v>
      </c>
      <c r="O26" s="21">
        <v>700</v>
      </c>
      <c r="P26" s="21">
        <v>1200</v>
      </c>
      <c r="Q26" s="21">
        <v>14500</v>
      </c>
      <c r="V26" t="s">
        <v>26</v>
      </c>
      <c r="W26" t="s">
        <v>25</v>
      </c>
      <c r="X26">
        <v>1</v>
      </c>
      <c r="Y26" t="s">
        <v>136</v>
      </c>
    </row>
    <row r="27" spans="1:25" x14ac:dyDescent="0.4">
      <c r="A27" s="12">
        <v>45819.009027777778</v>
      </c>
      <c r="B27" s="10">
        <v>9.0277777777777769E-3</v>
      </c>
      <c r="C27" s="10" t="s">
        <v>188</v>
      </c>
      <c r="D27" s="7" t="s">
        <v>51</v>
      </c>
      <c r="J27" t="s">
        <v>24</v>
      </c>
      <c r="K27" s="21"/>
      <c r="L27" s="21">
        <v>1500</v>
      </c>
      <c r="M27" s="21">
        <v>1700</v>
      </c>
      <c r="N27" s="21">
        <v>2000</v>
      </c>
      <c r="O27" s="21">
        <v>1200</v>
      </c>
      <c r="P27" s="21">
        <v>1500</v>
      </c>
      <c r="Q27" s="21">
        <v>900</v>
      </c>
      <c r="V27" t="s">
        <v>26</v>
      </c>
      <c r="W27" t="s">
        <v>25</v>
      </c>
      <c r="X27">
        <v>1</v>
      </c>
      <c r="Y27" t="s">
        <v>137</v>
      </c>
    </row>
    <row r="28" spans="1:25" x14ac:dyDescent="0.4">
      <c r="A28" s="12">
        <v>45820.73541666667</v>
      </c>
      <c r="B28" s="10">
        <v>0.73541666666666672</v>
      </c>
      <c r="C28" s="10" t="s">
        <v>189</v>
      </c>
      <c r="D28" s="7" t="s">
        <v>52</v>
      </c>
      <c r="J28" t="s">
        <v>24</v>
      </c>
      <c r="K28" s="21">
        <v>1600</v>
      </c>
      <c r="L28" s="21">
        <v>1000</v>
      </c>
      <c r="M28" s="21">
        <v>1500</v>
      </c>
      <c r="N28" s="21">
        <v>1800</v>
      </c>
      <c r="O28" s="21">
        <v>1000</v>
      </c>
      <c r="P28" s="21">
        <v>2300</v>
      </c>
      <c r="Q28" s="21"/>
      <c r="V28" t="s">
        <v>26</v>
      </c>
      <c r="W28" t="s">
        <v>25</v>
      </c>
      <c r="X28">
        <v>1</v>
      </c>
      <c r="Y28" t="s">
        <v>138</v>
      </c>
    </row>
    <row r="29" spans="1:25" x14ac:dyDescent="0.4">
      <c r="A29" s="12">
        <v>45820.745833333334</v>
      </c>
      <c r="B29" s="10">
        <v>0.74583333333333335</v>
      </c>
      <c r="C29" s="10" t="s">
        <v>190</v>
      </c>
      <c r="D29" s="7" t="s">
        <v>54</v>
      </c>
      <c r="J29" t="s">
        <v>24</v>
      </c>
      <c r="K29" s="21">
        <v>1400</v>
      </c>
      <c r="L29" s="21">
        <v>2000</v>
      </c>
      <c r="M29" s="21">
        <v>2000</v>
      </c>
      <c r="N29" s="21">
        <v>4000</v>
      </c>
      <c r="O29" s="21"/>
      <c r="P29" s="21">
        <v>2136</v>
      </c>
      <c r="Q29" s="21"/>
      <c r="V29" t="s">
        <v>26</v>
      </c>
      <c r="W29" t="s">
        <v>25</v>
      </c>
      <c r="X29">
        <v>1</v>
      </c>
      <c r="Y29" t="s">
        <v>139</v>
      </c>
    </row>
    <row r="30" spans="1:25" x14ac:dyDescent="0.4">
      <c r="A30" s="12">
        <v>45820.750694444447</v>
      </c>
      <c r="B30" s="10">
        <v>0.75069444444444444</v>
      </c>
      <c r="C30" s="10" t="s">
        <v>191</v>
      </c>
      <c r="D30" s="7" t="s">
        <v>55</v>
      </c>
      <c r="J30" t="s">
        <v>35</v>
      </c>
      <c r="K30" s="21"/>
      <c r="L30" s="21"/>
      <c r="M30" s="21"/>
      <c r="N30" s="21"/>
      <c r="O30" s="21">
        <v>1333</v>
      </c>
      <c r="P30" s="21"/>
      <c r="Q30" s="21"/>
      <c r="V30" t="s">
        <v>26</v>
      </c>
      <c r="W30" t="s">
        <v>25</v>
      </c>
      <c r="X30">
        <v>1</v>
      </c>
      <c r="Y30" t="s">
        <v>140</v>
      </c>
    </row>
    <row r="31" spans="1:25" x14ac:dyDescent="0.4">
      <c r="A31" s="12">
        <v>45820.751388888886</v>
      </c>
      <c r="B31" s="10">
        <v>0.75138888888888888</v>
      </c>
      <c r="C31" s="10" t="s">
        <v>192</v>
      </c>
      <c r="D31" s="7" t="s">
        <v>56</v>
      </c>
      <c r="J31" t="s">
        <v>20</v>
      </c>
      <c r="K31" s="21">
        <v>1290</v>
      </c>
      <c r="L31" s="21">
        <v>749</v>
      </c>
      <c r="M31" s="21">
        <v>949</v>
      </c>
      <c r="N31" s="21">
        <v>1290</v>
      </c>
      <c r="O31" s="21">
        <v>1400</v>
      </c>
      <c r="P31" s="21">
        <v>1788</v>
      </c>
      <c r="Q31" s="21">
        <v>9350</v>
      </c>
      <c r="V31" t="s">
        <v>25</v>
      </c>
      <c r="W31" t="s">
        <v>25</v>
      </c>
      <c r="X31">
        <v>1</v>
      </c>
      <c r="Y31" t="s">
        <v>141</v>
      </c>
    </row>
    <row r="32" spans="1:25" x14ac:dyDescent="0.4">
      <c r="A32" s="12">
        <v>45820.759722222225</v>
      </c>
      <c r="B32" s="10">
        <v>0.75972222222222219</v>
      </c>
      <c r="C32" s="10" t="s">
        <v>193</v>
      </c>
      <c r="D32" s="7" t="s">
        <v>57</v>
      </c>
      <c r="J32" t="s">
        <v>58</v>
      </c>
      <c r="K32" s="21">
        <v>2100</v>
      </c>
      <c r="L32" s="21">
        <v>1200</v>
      </c>
      <c r="M32" s="21">
        <v>2000</v>
      </c>
      <c r="N32" s="21">
        <v>5200</v>
      </c>
      <c r="O32" s="21"/>
      <c r="P32" s="21"/>
      <c r="Q32" s="21"/>
      <c r="U32" t="s">
        <v>243</v>
      </c>
      <c r="V32" t="s">
        <v>26</v>
      </c>
      <c r="W32" t="s">
        <v>25</v>
      </c>
      <c r="X32">
        <v>1</v>
      </c>
      <c r="Y32" t="s">
        <v>142</v>
      </c>
    </row>
    <row r="33" spans="1:25" x14ac:dyDescent="0.4">
      <c r="A33" s="12">
        <v>45820.770138888889</v>
      </c>
      <c r="B33" s="10">
        <v>0.77013888888888893</v>
      </c>
      <c r="C33" s="10" t="s">
        <v>194</v>
      </c>
      <c r="D33" s="7" t="s">
        <v>384</v>
      </c>
      <c r="J33" t="s">
        <v>47</v>
      </c>
      <c r="K33" s="21">
        <v>1485</v>
      </c>
      <c r="L33" s="21">
        <v>940</v>
      </c>
      <c r="M33" s="21">
        <v>949</v>
      </c>
      <c r="N33" s="21">
        <v>1400</v>
      </c>
      <c r="O33" s="21">
        <v>1400</v>
      </c>
      <c r="P33" s="21">
        <v>1288</v>
      </c>
      <c r="Q33" s="21"/>
      <c r="V33" t="s">
        <v>26</v>
      </c>
      <c r="W33" t="s">
        <v>25</v>
      </c>
      <c r="X33">
        <v>1</v>
      </c>
      <c r="Y33" t="s">
        <v>385</v>
      </c>
    </row>
    <row r="34" spans="1:25" x14ac:dyDescent="0.4">
      <c r="A34" s="12">
        <v>45820.773611111108</v>
      </c>
      <c r="B34" s="10">
        <v>0.77361111111111114</v>
      </c>
      <c r="C34" s="10" t="s">
        <v>195</v>
      </c>
      <c r="D34" s="7" t="s">
        <v>59</v>
      </c>
      <c r="J34" t="s">
        <v>60</v>
      </c>
      <c r="K34" s="21">
        <v>1290</v>
      </c>
      <c r="L34" s="21">
        <v>870</v>
      </c>
      <c r="M34" s="21">
        <v>1080</v>
      </c>
      <c r="N34" s="21">
        <v>1050</v>
      </c>
      <c r="O34" s="21">
        <v>1629</v>
      </c>
      <c r="P34" s="21">
        <v>1845</v>
      </c>
      <c r="Q34" s="21">
        <v>5315</v>
      </c>
      <c r="V34" t="s">
        <v>25</v>
      </c>
      <c r="W34" t="s">
        <v>25</v>
      </c>
      <c r="X34">
        <v>1</v>
      </c>
      <c r="Y34" t="s">
        <v>143</v>
      </c>
    </row>
    <row r="35" spans="1:25" x14ac:dyDescent="0.4">
      <c r="A35" s="12">
        <v>45820.78125</v>
      </c>
      <c r="B35" s="10">
        <v>0.78125</v>
      </c>
      <c r="C35" s="10" t="s">
        <v>196</v>
      </c>
      <c r="D35" s="7" t="s">
        <v>389</v>
      </c>
      <c r="J35" t="s">
        <v>47</v>
      </c>
      <c r="K35" s="21"/>
      <c r="L35" s="21">
        <v>1000</v>
      </c>
      <c r="M35" s="21"/>
      <c r="N35" s="21">
        <v>1400</v>
      </c>
      <c r="O35" s="21">
        <v>1500</v>
      </c>
      <c r="P35" s="21"/>
      <c r="Q35" s="21"/>
      <c r="V35" t="s">
        <v>26</v>
      </c>
      <c r="W35" t="s">
        <v>25</v>
      </c>
      <c r="X35">
        <v>1</v>
      </c>
      <c r="Y35" t="s">
        <v>388</v>
      </c>
    </row>
    <row r="36" spans="1:25" x14ac:dyDescent="0.4">
      <c r="A36" s="12">
        <v>45820.787499999999</v>
      </c>
      <c r="B36" s="10">
        <v>0.78680555555555554</v>
      </c>
      <c r="C36" s="10" t="s">
        <v>197</v>
      </c>
      <c r="D36" s="7" t="s">
        <v>383</v>
      </c>
      <c r="J36" t="s">
        <v>61</v>
      </c>
      <c r="K36" s="21">
        <v>1950</v>
      </c>
      <c r="L36" s="21">
        <v>870</v>
      </c>
      <c r="M36" s="21">
        <v>1080</v>
      </c>
      <c r="N36" s="21">
        <v>1550</v>
      </c>
      <c r="O36" s="21">
        <v>969</v>
      </c>
      <c r="P36" s="21">
        <v>139</v>
      </c>
      <c r="Q36" s="21">
        <v>8855</v>
      </c>
      <c r="V36" t="s">
        <v>25</v>
      </c>
      <c r="W36" t="s">
        <v>25</v>
      </c>
      <c r="X36">
        <v>1</v>
      </c>
      <c r="Y36" t="s">
        <v>382</v>
      </c>
    </row>
    <row r="37" spans="1:25" x14ac:dyDescent="0.4">
      <c r="A37" s="12">
        <v>45820.792361111111</v>
      </c>
      <c r="B37" s="10">
        <v>0.79236111111111107</v>
      </c>
      <c r="C37" s="10" t="s">
        <v>198</v>
      </c>
      <c r="D37" s="7" t="s">
        <v>62</v>
      </c>
      <c r="J37" t="s">
        <v>20</v>
      </c>
      <c r="K37" s="21">
        <v>1290</v>
      </c>
      <c r="L37" s="21">
        <v>749</v>
      </c>
      <c r="M37" s="21">
        <v>949</v>
      </c>
      <c r="N37" s="21">
        <v>1290</v>
      </c>
      <c r="O37" s="21">
        <v>1590</v>
      </c>
      <c r="P37" s="21">
        <v>1788</v>
      </c>
      <c r="Q37" s="21"/>
      <c r="V37" t="s">
        <v>25</v>
      </c>
      <c r="W37" t="s">
        <v>25</v>
      </c>
      <c r="X37">
        <v>1</v>
      </c>
      <c r="Y37" t="s">
        <v>144</v>
      </c>
    </row>
    <row r="38" spans="1:25" x14ac:dyDescent="0.4">
      <c r="A38" s="12">
        <v>45820.795138888891</v>
      </c>
      <c r="B38" s="10">
        <v>0.79513888888888884</v>
      </c>
      <c r="C38" s="10" t="s">
        <v>199</v>
      </c>
      <c r="D38" s="7" t="s">
        <v>63</v>
      </c>
      <c r="J38" t="s">
        <v>35</v>
      </c>
      <c r="K38" s="21"/>
      <c r="L38" s="21"/>
      <c r="M38" s="21"/>
      <c r="N38" s="21"/>
      <c r="O38" s="21">
        <v>1000</v>
      </c>
      <c r="P38" s="21"/>
      <c r="Q38" s="21"/>
      <c r="V38" t="s">
        <v>26</v>
      </c>
      <c r="W38" t="s">
        <v>25</v>
      </c>
      <c r="X38">
        <v>1</v>
      </c>
      <c r="Y38" t="s">
        <v>145</v>
      </c>
    </row>
    <row r="39" spans="1:25" x14ac:dyDescent="0.4">
      <c r="A39" s="12">
        <v>45820.79583333333</v>
      </c>
      <c r="B39" s="10">
        <v>0.79583333333333328</v>
      </c>
      <c r="C39" s="10" t="s">
        <v>200</v>
      </c>
      <c r="D39" s="7" t="s">
        <v>64</v>
      </c>
      <c r="J39" t="s">
        <v>21</v>
      </c>
      <c r="K39" s="21"/>
      <c r="L39" s="21"/>
      <c r="M39" s="21"/>
      <c r="N39" s="21"/>
      <c r="O39" s="21"/>
      <c r="P39" s="21"/>
      <c r="Q39" s="21">
        <v>545</v>
      </c>
      <c r="V39" t="s">
        <v>25</v>
      </c>
      <c r="W39" t="s">
        <v>25</v>
      </c>
      <c r="X39">
        <v>1</v>
      </c>
      <c r="Y39" t="s">
        <v>146</v>
      </c>
    </row>
    <row r="40" spans="1:25" x14ac:dyDescent="0.4">
      <c r="A40" s="12">
        <v>45820.797222222223</v>
      </c>
      <c r="B40" s="10">
        <v>0.79722222222222228</v>
      </c>
      <c r="C40" s="10" t="s">
        <v>201</v>
      </c>
      <c r="D40" s="7" t="s">
        <v>65</v>
      </c>
      <c r="J40" t="s">
        <v>66</v>
      </c>
      <c r="K40" s="21"/>
      <c r="L40" s="21">
        <v>1400</v>
      </c>
      <c r="M40" s="21">
        <v>1200</v>
      </c>
      <c r="N40" s="21"/>
      <c r="O40" s="21"/>
      <c r="P40" s="21">
        <v>1500</v>
      </c>
      <c r="Q40" s="21"/>
      <c r="V40" t="s">
        <v>26</v>
      </c>
      <c r="W40" t="s">
        <v>25</v>
      </c>
      <c r="X40">
        <v>1</v>
      </c>
      <c r="Y40" t="s">
        <v>147</v>
      </c>
    </row>
    <row r="41" spans="1:25" x14ac:dyDescent="0.4">
      <c r="A41" s="12">
        <v>45820.806250000001</v>
      </c>
      <c r="B41" s="10">
        <v>0.80625000000000002</v>
      </c>
      <c r="C41" s="10" t="s">
        <v>202</v>
      </c>
      <c r="D41" s="7" t="s">
        <v>67</v>
      </c>
      <c r="J41" t="s">
        <v>35</v>
      </c>
      <c r="K41" s="21"/>
      <c r="L41" s="21"/>
      <c r="M41" s="21"/>
      <c r="N41" s="21"/>
      <c r="O41" s="21">
        <v>1000</v>
      </c>
      <c r="P41" s="21"/>
      <c r="Q41" s="21"/>
      <c r="V41" t="s">
        <v>26</v>
      </c>
      <c r="W41" t="s">
        <v>25</v>
      </c>
      <c r="X41">
        <v>1</v>
      </c>
      <c r="Y41" t="s">
        <v>148</v>
      </c>
    </row>
    <row r="42" spans="1:25" x14ac:dyDescent="0.4">
      <c r="A42" s="12">
        <v>45820.813888888886</v>
      </c>
      <c r="B42" s="10">
        <v>0.81388888888888888</v>
      </c>
      <c r="C42" s="10" t="s">
        <v>203</v>
      </c>
      <c r="D42" s="7" t="s">
        <v>68</v>
      </c>
      <c r="J42" t="s">
        <v>69</v>
      </c>
      <c r="K42" s="21">
        <v>1290</v>
      </c>
      <c r="L42" s="21">
        <v>890</v>
      </c>
      <c r="M42" s="21">
        <v>899</v>
      </c>
      <c r="N42" s="21">
        <v>1280</v>
      </c>
      <c r="O42" s="21">
        <v>600</v>
      </c>
      <c r="P42" s="21">
        <v>1278</v>
      </c>
      <c r="Q42" s="21">
        <v>13500</v>
      </c>
      <c r="V42" t="s">
        <v>25</v>
      </c>
      <c r="W42" t="s">
        <v>25</v>
      </c>
      <c r="X42">
        <v>1</v>
      </c>
      <c r="Y42" t="s">
        <v>149</v>
      </c>
    </row>
    <row r="43" spans="1:25" x14ac:dyDescent="0.4">
      <c r="A43" s="12">
        <v>45820.821527777778</v>
      </c>
      <c r="B43" s="10">
        <v>0.82152777777777775</v>
      </c>
      <c r="C43" s="10" t="s">
        <v>204</v>
      </c>
      <c r="D43" s="7" t="s">
        <v>70</v>
      </c>
      <c r="J43" t="s">
        <v>35</v>
      </c>
      <c r="K43" s="21"/>
      <c r="L43" s="21"/>
      <c r="M43" s="21"/>
      <c r="N43" s="21"/>
      <c r="O43" s="21">
        <v>750</v>
      </c>
      <c r="P43" s="21"/>
      <c r="Q43" s="21"/>
      <c r="V43" t="s">
        <v>26</v>
      </c>
      <c r="W43" t="s">
        <v>25</v>
      </c>
      <c r="X43">
        <v>1</v>
      </c>
      <c r="Y43" t="s">
        <v>150</v>
      </c>
    </row>
    <row r="44" spans="1:25" x14ac:dyDescent="0.4">
      <c r="A44" s="12">
        <v>45820.822222222225</v>
      </c>
      <c r="B44" s="10">
        <v>0.82222222222222219</v>
      </c>
      <c r="C44" s="10" t="s">
        <v>205</v>
      </c>
      <c r="D44" s="7" t="s">
        <v>379</v>
      </c>
      <c r="J44" t="s">
        <v>24</v>
      </c>
      <c r="K44" s="21">
        <v>1600</v>
      </c>
      <c r="L44" s="21">
        <v>900</v>
      </c>
      <c r="M44" s="21">
        <v>1300</v>
      </c>
      <c r="N44" s="21">
        <v>1600</v>
      </c>
      <c r="O44" s="21">
        <v>1000</v>
      </c>
      <c r="P44" s="21">
        <v>1600</v>
      </c>
      <c r="Q44" s="21"/>
      <c r="V44" t="s">
        <v>26</v>
      </c>
      <c r="W44" t="s">
        <v>25</v>
      </c>
      <c r="X44">
        <v>1</v>
      </c>
      <c r="Y44" t="s">
        <v>378</v>
      </c>
    </row>
    <row r="45" spans="1:25" x14ac:dyDescent="0.4">
      <c r="A45" s="12">
        <v>45820.826388888891</v>
      </c>
      <c r="B45" s="10">
        <v>0.82638888888888884</v>
      </c>
      <c r="C45" s="10" t="s">
        <v>206</v>
      </c>
      <c r="D45" s="7" t="s">
        <v>381</v>
      </c>
      <c r="J45" t="s">
        <v>35</v>
      </c>
      <c r="K45" s="21"/>
      <c r="L45" s="21"/>
      <c r="M45" s="21"/>
      <c r="N45" s="21"/>
      <c r="O45" s="21">
        <v>700</v>
      </c>
      <c r="P45" s="21"/>
      <c r="Q45" s="21"/>
      <c r="V45" t="s">
        <v>26</v>
      </c>
      <c r="W45" t="s">
        <v>25</v>
      </c>
      <c r="X45">
        <v>1</v>
      </c>
      <c r="Y45" t="s">
        <v>380</v>
      </c>
    </row>
    <row r="46" spans="1:25" x14ac:dyDescent="0.4">
      <c r="A46" s="12">
        <v>45820.827777777777</v>
      </c>
      <c r="B46" s="10">
        <v>0.82777777777777772</v>
      </c>
      <c r="C46" s="10" t="s">
        <v>207</v>
      </c>
      <c r="D46" s="7" t="s">
        <v>71</v>
      </c>
      <c r="J46" t="s">
        <v>35</v>
      </c>
      <c r="K46" s="21"/>
      <c r="L46" s="21"/>
      <c r="M46" s="21"/>
      <c r="N46" s="21"/>
      <c r="O46" s="21">
        <v>700</v>
      </c>
      <c r="P46" s="21"/>
      <c r="Q46" s="21"/>
      <c r="V46" t="s">
        <v>26</v>
      </c>
      <c r="W46" t="s">
        <v>25</v>
      </c>
      <c r="X46">
        <v>1</v>
      </c>
      <c r="Y46" t="s">
        <v>151</v>
      </c>
    </row>
    <row r="47" spans="1:25" x14ac:dyDescent="0.4">
      <c r="A47" s="12">
        <v>45820.84652777778</v>
      </c>
      <c r="B47" s="10">
        <v>0.84652777777777777</v>
      </c>
      <c r="C47" s="10" t="s">
        <v>208</v>
      </c>
      <c r="D47" s="7" t="s">
        <v>371</v>
      </c>
      <c r="J47" t="s">
        <v>35</v>
      </c>
      <c r="K47" s="21"/>
      <c r="L47" s="21"/>
      <c r="M47" s="21"/>
      <c r="N47" s="21"/>
      <c r="O47" s="21">
        <v>900</v>
      </c>
      <c r="P47" s="21"/>
      <c r="Q47" s="21"/>
      <c r="V47" t="s">
        <v>26</v>
      </c>
      <c r="W47" t="s">
        <v>25</v>
      </c>
      <c r="X47">
        <v>1</v>
      </c>
      <c r="Y47" t="s">
        <v>370</v>
      </c>
    </row>
    <row r="48" spans="1:25" x14ac:dyDescent="0.4">
      <c r="A48" s="12">
        <v>45820.849305555559</v>
      </c>
      <c r="B48" s="10">
        <v>0.84930555555555554</v>
      </c>
      <c r="C48" s="10" t="s">
        <v>209</v>
      </c>
      <c r="D48" s="7" t="s">
        <v>372</v>
      </c>
      <c r="J48" t="s">
        <v>35</v>
      </c>
      <c r="K48" s="21"/>
      <c r="L48" s="21"/>
      <c r="M48" s="21"/>
      <c r="N48" s="21"/>
      <c r="O48" s="21">
        <v>1500</v>
      </c>
      <c r="P48" s="21"/>
      <c r="Q48" s="21"/>
      <c r="V48" t="s">
        <v>26</v>
      </c>
      <c r="W48" t="s">
        <v>25</v>
      </c>
      <c r="X48">
        <v>1</v>
      </c>
      <c r="Y48" t="s">
        <v>373</v>
      </c>
    </row>
    <row r="49" spans="1:25" x14ac:dyDescent="0.4">
      <c r="A49" s="12">
        <v>45820.852777777778</v>
      </c>
      <c r="B49" s="10">
        <v>0.85277777777777775</v>
      </c>
      <c r="C49" s="10" t="s">
        <v>210</v>
      </c>
      <c r="D49" s="7" t="s">
        <v>73</v>
      </c>
      <c r="J49" t="s">
        <v>47</v>
      </c>
      <c r="K49" s="21"/>
      <c r="L49" s="21">
        <v>1200</v>
      </c>
      <c r="M49" s="21">
        <v>1600</v>
      </c>
      <c r="N49" s="21">
        <v>3000</v>
      </c>
      <c r="O49" s="21">
        <v>1500</v>
      </c>
      <c r="P49" s="21"/>
      <c r="Q49" s="21"/>
      <c r="V49" t="s">
        <v>26</v>
      </c>
      <c r="W49" t="s">
        <v>25</v>
      </c>
      <c r="X49">
        <v>1</v>
      </c>
      <c r="Y49" t="s">
        <v>153</v>
      </c>
    </row>
    <row r="50" spans="1:25" x14ac:dyDescent="0.4">
      <c r="A50" s="12">
        <v>45820.854861111111</v>
      </c>
      <c r="B50" s="10">
        <v>0.85486111111111107</v>
      </c>
      <c r="C50" s="10" t="s">
        <v>211</v>
      </c>
      <c r="D50" s="7" t="s">
        <v>74</v>
      </c>
      <c r="J50" t="s">
        <v>24</v>
      </c>
      <c r="K50" s="21">
        <v>1500</v>
      </c>
      <c r="L50" s="21">
        <v>1100</v>
      </c>
      <c r="M50" s="21">
        <v>1000</v>
      </c>
      <c r="N50" s="21">
        <v>2000</v>
      </c>
      <c r="O50" s="21"/>
      <c r="P50" s="21">
        <v>1411</v>
      </c>
      <c r="Q50" s="21"/>
      <c r="V50" t="s">
        <v>26</v>
      </c>
      <c r="W50" t="s">
        <v>25</v>
      </c>
      <c r="X50">
        <v>1</v>
      </c>
      <c r="Y50" t="s">
        <v>154</v>
      </c>
    </row>
    <row r="51" spans="1:25" x14ac:dyDescent="0.4">
      <c r="A51" s="12">
        <v>45820.857638888891</v>
      </c>
      <c r="B51" s="10">
        <v>0.85763888888888884</v>
      </c>
      <c r="C51" s="10" t="s">
        <v>212</v>
      </c>
      <c r="D51" s="7" t="s">
        <v>387</v>
      </c>
      <c r="J51" t="s">
        <v>35</v>
      </c>
      <c r="K51" s="21"/>
      <c r="L51" s="21"/>
      <c r="M51" s="21"/>
      <c r="N51" s="21"/>
      <c r="O51" s="21">
        <v>1000</v>
      </c>
      <c r="P51" s="21"/>
      <c r="Q51" s="21"/>
      <c r="V51" t="s">
        <v>26</v>
      </c>
      <c r="W51" t="s">
        <v>25</v>
      </c>
      <c r="X51">
        <v>1</v>
      </c>
      <c r="Y51" t="s">
        <v>386</v>
      </c>
    </row>
    <row r="52" spans="1:25" x14ac:dyDescent="0.4">
      <c r="A52" s="12">
        <v>45820.862500000003</v>
      </c>
      <c r="B52" s="10">
        <v>0.86250000000000004</v>
      </c>
      <c r="C52" s="10" t="s">
        <v>213</v>
      </c>
      <c r="D52" s="7" t="s">
        <v>75</v>
      </c>
      <c r="J52" t="s">
        <v>20</v>
      </c>
      <c r="K52" s="21">
        <v>1290</v>
      </c>
      <c r="L52" s="21">
        <v>749</v>
      </c>
      <c r="M52" s="21">
        <v>949</v>
      </c>
      <c r="N52" s="21">
        <v>1290</v>
      </c>
      <c r="O52" s="21">
        <v>1590</v>
      </c>
      <c r="P52" s="21">
        <v>1788</v>
      </c>
      <c r="Q52" s="21">
        <v>13500</v>
      </c>
      <c r="V52" t="s">
        <v>25</v>
      </c>
      <c r="W52" t="s">
        <v>25</v>
      </c>
      <c r="X52">
        <v>1</v>
      </c>
      <c r="Y52" t="s">
        <v>155</v>
      </c>
    </row>
    <row r="53" spans="1:25" x14ac:dyDescent="0.4">
      <c r="A53" s="12">
        <v>45820.862847222219</v>
      </c>
      <c r="B53" s="10">
        <v>0.86284722222222221</v>
      </c>
      <c r="C53" s="10" t="s">
        <v>214</v>
      </c>
      <c r="D53" s="7" t="s">
        <v>76</v>
      </c>
      <c r="J53" t="s">
        <v>21</v>
      </c>
      <c r="K53" s="21"/>
      <c r="L53" s="21"/>
      <c r="M53" s="21"/>
      <c r="N53" s="21"/>
      <c r="O53" s="21"/>
      <c r="P53" s="21"/>
      <c r="Q53" s="21">
        <v>5450</v>
      </c>
      <c r="V53" t="s">
        <v>25</v>
      </c>
      <c r="W53" t="s">
        <v>25</v>
      </c>
      <c r="X53">
        <v>1</v>
      </c>
      <c r="Y53" t="s">
        <v>156</v>
      </c>
    </row>
    <row r="54" spans="1:25" x14ac:dyDescent="0.4">
      <c r="A54" s="12">
        <v>45820.865972222222</v>
      </c>
      <c r="B54" s="10">
        <v>0.86597222222222225</v>
      </c>
      <c r="C54" s="10" t="s">
        <v>215</v>
      </c>
      <c r="D54" s="7" t="s">
        <v>77</v>
      </c>
      <c r="J54" t="s">
        <v>35</v>
      </c>
      <c r="K54" s="21"/>
      <c r="L54" s="21"/>
      <c r="M54" s="21"/>
      <c r="N54" s="21"/>
      <c r="O54" s="21">
        <v>1200</v>
      </c>
      <c r="P54" s="21"/>
      <c r="Q54" s="21"/>
      <c r="V54" t="s">
        <v>26</v>
      </c>
      <c r="W54" t="s">
        <v>25</v>
      </c>
      <c r="X54">
        <v>1</v>
      </c>
      <c r="Y54" t="s">
        <v>157</v>
      </c>
    </row>
    <row r="55" spans="1:25" x14ac:dyDescent="0.4">
      <c r="A55" s="12">
        <v>45820.870138888888</v>
      </c>
      <c r="B55" s="10">
        <v>0.87013888888888891</v>
      </c>
      <c r="C55" s="10" t="s">
        <v>216</v>
      </c>
      <c r="D55" s="7" t="s">
        <v>368</v>
      </c>
      <c r="J55" t="s">
        <v>24</v>
      </c>
      <c r="K55" s="21">
        <v>2000</v>
      </c>
      <c r="L55" s="21">
        <v>1200</v>
      </c>
      <c r="M55" s="21">
        <v>1499</v>
      </c>
      <c r="N55" s="21">
        <v>2000</v>
      </c>
      <c r="O55" s="21"/>
      <c r="P55" s="21">
        <v>1800</v>
      </c>
      <c r="Q55" s="21"/>
      <c r="V55" t="s">
        <v>26</v>
      </c>
      <c r="W55" t="s">
        <v>25</v>
      </c>
      <c r="X55">
        <v>1</v>
      </c>
      <c r="Y55" t="s">
        <v>369</v>
      </c>
    </row>
    <row r="56" spans="1:25" x14ac:dyDescent="0.4">
      <c r="A56" s="12">
        <v>45820.875694444447</v>
      </c>
      <c r="B56" s="10">
        <v>0.87569444444444444</v>
      </c>
      <c r="C56" s="10" t="s">
        <v>217</v>
      </c>
      <c r="D56" s="7" t="s">
        <v>78</v>
      </c>
      <c r="J56" t="s">
        <v>24</v>
      </c>
      <c r="K56" s="21">
        <v>2500</v>
      </c>
      <c r="L56" s="21">
        <v>1800</v>
      </c>
      <c r="M56" s="21">
        <v>1700</v>
      </c>
      <c r="N56" s="21">
        <v>2500</v>
      </c>
      <c r="O56" s="21"/>
      <c r="P56" s="21"/>
      <c r="Q56" s="21"/>
      <c r="V56" t="s">
        <v>26</v>
      </c>
      <c r="W56" t="s">
        <v>25</v>
      </c>
      <c r="X56">
        <v>1</v>
      </c>
      <c r="Y56" t="s">
        <v>158</v>
      </c>
    </row>
    <row r="57" spans="1:25" x14ac:dyDescent="0.4">
      <c r="A57" s="12">
        <v>45820.881249999999</v>
      </c>
      <c r="B57" s="10">
        <v>0.88124999999999998</v>
      </c>
      <c r="C57" s="10" t="s">
        <v>218</v>
      </c>
      <c r="D57" s="7" t="s">
        <v>79</v>
      </c>
      <c r="J57" t="s">
        <v>37</v>
      </c>
      <c r="K57" s="21">
        <v>1430</v>
      </c>
      <c r="L57" s="21">
        <v>540</v>
      </c>
      <c r="M57" s="21">
        <v>990</v>
      </c>
      <c r="N57" s="21">
        <v>1475</v>
      </c>
      <c r="O57" s="21">
        <v>590</v>
      </c>
      <c r="P57" s="21">
        <v>1600</v>
      </c>
      <c r="Q57" s="21">
        <v>12800</v>
      </c>
      <c r="V57" t="s">
        <v>25</v>
      </c>
      <c r="W57" t="s">
        <v>25</v>
      </c>
      <c r="X57">
        <v>1</v>
      </c>
      <c r="Y57" t="s">
        <v>159</v>
      </c>
    </row>
    <row r="58" spans="1:25" x14ac:dyDescent="0.4">
      <c r="A58" s="12">
        <v>45820.890277777777</v>
      </c>
      <c r="B58" s="10">
        <v>0.89027777777777772</v>
      </c>
      <c r="C58" s="10" t="s">
        <v>219</v>
      </c>
      <c r="D58" s="7" t="s">
        <v>80</v>
      </c>
      <c r="J58" t="s">
        <v>35</v>
      </c>
      <c r="K58" s="21"/>
      <c r="L58" s="21"/>
      <c r="M58" s="21"/>
      <c r="N58" s="21"/>
      <c r="O58" s="21">
        <v>1000</v>
      </c>
      <c r="P58" s="21"/>
      <c r="Q58" s="21"/>
      <c r="V58" t="s">
        <v>26</v>
      </c>
      <c r="W58" t="s">
        <v>25</v>
      </c>
      <c r="X58">
        <v>1</v>
      </c>
      <c r="Y58" t="s">
        <v>160</v>
      </c>
    </row>
    <row r="59" spans="1:25" x14ac:dyDescent="0.4">
      <c r="A59" s="12">
        <v>45820.890972222223</v>
      </c>
      <c r="B59" s="10">
        <v>0.89097222222222228</v>
      </c>
      <c r="C59" s="10" t="s">
        <v>220</v>
      </c>
      <c r="D59" s="7" t="s">
        <v>81</v>
      </c>
      <c r="J59" t="s">
        <v>24</v>
      </c>
      <c r="K59" s="21">
        <v>1800</v>
      </c>
      <c r="L59" s="21">
        <v>1300</v>
      </c>
      <c r="M59" s="21">
        <v>1600</v>
      </c>
      <c r="N59" s="21">
        <v>2000</v>
      </c>
      <c r="O59" s="21"/>
      <c r="P59" s="21">
        <v>1600</v>
      </c>
      <c r="Q59" s="21"/>
      <c r="V59" t="s">
        <v>26</v>
      </c>
      <c r="W59" t="s">
        <v>25</v>
      </c>
      <c r="X59">
        <v>1</v>
      </c>
      <c r="Y59" t="s">
        <v>161</v>
      </c>
    </row>
    <row r="60" spans="1:25" x14ac:dyDescent="0.4">
      <c r="A60" s="12">
        <v>45820.895138888889</v>
      </c>
      <c r="B60" s="10">
        <v>0.89513888888888893</v>
      </c>
      <c r="C60" s="10" t="s">
        <v>221</v>
      </c>
      <c r="D60" s="7" t="s">
        <v>82</v>
      </c>
      <c r="J60" t="s">
        <v>20</v>
      </c>
      <c r="K60" s="21">
        <v>1290</v>
      </c>
      <c r="L60" s="21">
        <v>749</v>
      </c>
      <c r="M60" s="21">
        <v>949</v>
      </c>
      <c r="N60" s="21">
        <v>1290</v>
      </c>
      <c r="O60" s="21">
        <v>1590</v>
      </c>
      <c r="P60" s="21">
        <v>1788</v>
      </c>
      <c r="Q60" s="21">
        <v>13500</v>
      </c>
      <c r="V60" t="s">
        <v>25</v>
      </c>
      <c r="W60" t="s">
        <v>25</v>
      </c>
      <c r="X60">
        <v>1</v>
      </c>
      <c r="Y60" t="s">
        <v>162</v>
      </c>
    </row>
    <row r="61" spans="1:25" x14ac:dyDescent="0.4">
      <c r="A61" s="12">
        <v>45820.897916666669</v>
      </c>
      <c r="B61" s="10">
        <v>0.8979166666666667</v>
      </c>
      <c r="C61" s="10" t="s">
        <v>222</v>
      </c>
      <c r="D61" s="7" t="s">
        <v>83</v>
      </c>
      <c r="J61" t="s">
        <v>60</v>
      </c>
      <c r="K61" s="21">
        <v>1290</v>
      </c>
      <c r="L61" s="21">
        <v>870</v>
      </c>
      <c r="M61" s="21">
        <v>1080</v>
      </c>
      <c r="N61" s="21">
        <v>1620</v>
      </c>
      <c r="O61" s="21">
        <v>869</v>
      </c>
      <c r="P61" s="21">
        <v>1059</v>
      </c>
      <c r="Q61" s="21">
        <v>5315</v>
      </c>
      <c r="V61" t="s">
        <v>25</v>
      </c>
      <c r="W61" t="s">
        <v>25</v>
      </c>
      <c r="X61">
        <v>1</v>
      </c>
      <c r="Y61" t="s">
        <v>102</v>
      </c>
    </row>
    <row r="62" spans="1:25" x14ac:dyDescent="0.4">
      <c r="A62" s="12">
        <v>45820.904166666667</v>
      </c>
      <c r="B62" s="10">
        <v>0.90416666666666667</v>
      </c>
      <c r="C62" s="10" t="s">
        <v>223</v>
      </c>
      <c r="D62" s="7" t="s">
        <v>84</v>
      </c>
      <c r="J62" t="s">
        <v>35</v>
      </c>
      <c r="K62" s="21"/>
      <c r="L62" s="21"/>
      <c r="M62" s="21"/>
      <c r="N62" s="21"/>
      <c r="O62" s="21">
        <v>800</v>
      </c>
      <c r="P62" s="21"/>
      <c r="Q62" s="21"/>
      <c r="V62" t="s">
        <v>26</v>
      </c>
      <c r="W62" t="s">
        <v>25</v>
      </c>
      <c r="X62">
        <v>1</v>
      </c>
      <c r="Y62" t="s">
        <v>115</v>
      </c>
    </row>
    <row r="63" spans="1:25" x14ac:dyDescent="0.4">
      <c r="A63" s="12">
        <v>45820.904861111114</v>
      </c>
      <c r="B63" s="10">
        <v>0.90486111111111112</v>
      </c>
      <c r="C63" s="10" t="s">
        <v>224</v>
      </c>
      <c r="D63" s="7" t="s">
        <v>85</v>
      </c>
      <c r="J63" t="s">
        <v>66</v>
      </c>
      <c r="K63" s="21"/>
      <c r="L63" s="21">
        <v>1400</v>
      </c>
      <c r="M63" s="21">
        <v>1500</v>
      </c>
      <c r="N63" s="21"/>
      <c r="O63" s="21"/>
      <c r="P63" s="21">
        <v>1700</v>
      </c>
      <c r="Q63" s="21"/>
      <c r="V63" t="s">
        <v>26</v>
      </c>
      <c r="W63" t="s">
        <v>25</v>
      </c>
      <c r="X63">
        <v>1</v>
      </c>
      <c r="Y63" t="s">
        <v>103</v>
      </c>
    </row>
    <row r="64" spans="1:25" x14ac:dyDescent="0.4">
      <c r="A64" s="12">
        <v>45820.906944444447</v>
      </c>
      <c r="B64" s="10">
        <v>0.90694444444444444</v>
      </c>
      <c r="C64" s="10" t="s">
        <v>225</v>
      </c>
      <c r="D64" s="7" t="s">
        <v>86</v>
      </c>
      <c r="J64" t="s">
        <v>87</v>
      </c>
      <c r="K64" s="21"/>
      <c r="L64" s="21"/>
      <c r="M64" s="21"/>
      <c r="N64" s="21"/>
      <c r="O64" s="21"/>
      <c r="P64" s="21"/>
      <c r="Q64" s="21">
        <v>8500</v>
      </c>
      <c r="V64" t="s">
        <v>26</v>
      </c>
      <c r="W64" t="s">
        <v>25</v>
      </c>
      <c r="X64">
        <v>1</v>
      </c>
      <c r="Y64" t="s">
        <v>104</v>
      </c>
    </row>
    <row r="65" spans="1:25" x14ac:dyDescent="0.4">
      <c r="A65" s="12">
        <v>45820.90729166667</v>
      </c>
      <c r="B65" s="10">
        <v>0.90729166666666672</v>
      </c>
      <c r="C65" s="10" t="s">
        <v>226</v>
      </c>
      <c r="D65" s="7" t="s">
        <v>88</v>
      </c>
      <c r="J65" t="s">
        <v>35</v>
      </c>
      <c r="K65" s="21"/>
      <c r="L65" s="21"/>
      <c r="M65" s="21"/>
      <c r="N65" s="21"/>
      <c r="O65" s="21">
        <v>700</v>
      </c>
      <c r="P65" s="21"/>
      <c r="Q65" s="21"/>
      <c r="V65" t="s">
        <v>26</v>
      </c>
      <c r="W65" t="s">
        <v>25</v>
      </c>
      <c r="X65">
        <v>1</v>
      </c>
      <c r="Y65" t="s">
        <v>105</v>
      </c>
    </row>
    <row r="66" spans="1:25" x14ac:dyDescent="0.4">
      <c r="A66" s="12">
        <v>45820.907638888886</v>
      </c>
      <c r="B66" s="10">
        <v>0.90763888888888888</v>
      </c>
      <c r="C66" s="10" t="s">
        <v>227</v>
      </c>
      <c r="D66" s="7" t="s">
        <v>89</v>
      </c>
      <c r="J66" t="s">
        <v>87</v>
      </c>
      <c r="K66" s="21"/>
      <c r="L66" s="21"/>
      <c r="M66" s="21"/>
      <c r="N66" s="21"/>
      <c r="O66" s="21"/>
      <c r="P66" s="21"/>
      <c r="Q66" s="21">
        <v>17000</v>
      </c>
      <c r="V66" t="s">
        <v>26</v>
      </c>
      <c r="W66" t="s">
        <v>25</v>
      </c>
      <c r="X66">
        <v>1</v>
      </c>
      <c r="Y66" t="s">
        <v>106</v>
      </c>
    </row>
    <row r="67" spans="1:25" x14ac:dyDescent="0.4">
      <c r="A67" s="12">
        <v>45820.907986111109</v>
      </c>
      <c r="B67" s="10">
        <v>0.90798611111111116</v>
      </c>
      <c r="C67" s="10" t="s">
        <v>228</v>
      </c>
      <c r="D67" s="7" t="s">
        <v>90</v>
      </c>
      <c r="J67" t="s">
        <v>87</v>
      </c>
      <c r="K67" s="21"/>
      <c r="L67" s="21"/>
      <c r="M67" s="21"/>
      <c r="N67" s="21"/>
      <c r="O67" s="21"/>
      <c r="P67" s="21"/>
      <c r="Q67" s="21">
        <v>21000</v>
      </c>
      <c r="V67" t="s">
        <v>26</v>
      </c>
      <c r="W67" t="s">
        <v>25</v>
      </c>
      <c r="X67">
        <v>1</v>
      </c>
      <c r="Y67" t="s">
        <v>107</v>
      </c>
    </row>
    <row r="68" spans="1:25" x14ac:dyDescent="0.4">
      <c r="A68" s="12">
        <v>45820.908333333333</v>
      </c>
      <c r="B68" s="10">
        <v>0.90833333333333333</v>
      </c>
      <c r="C68" s="10" t="s">
        <v>229</v>
      </c>
      <c r="D68" s="7" t="s">
        <v>91</v>
      </c>
      <c r="J68" t="s">
        <v>35</v>
      </c>
      <c r="K68" s="21"/>
      <c r="L68" s="21"/>
      <c r="M68" s="21"/>
      <c r="N68" s="21"/>
      <c r="O68" s="21">
        <v>4000</v>
      </c>
      <c r="P68" s="21"/>
      <c r="Q68" s="21"/>
      <c r="V68" t="s">
        <v>26</v>
      </c>
      <c r="W68" t="s">
        <v>25</v>
      </c>
      <c r="X68">
        <v>1</v>
      </c>
      <c r="Y68" t="s">
        <v>108</v>
      </c>
    </row>
    <row r="69" spans="1:25" x14ac:dyDescent="0.4">
      <c r="A69" s="12">
        <v>45820.90902777778</v>
      </c>
      <c r="B69" s="10">
        <v>0.90902777777777777</v>
      </c>
      <c r="C69" s="10" t="s">
        <v>230</v>
      </c>
      <c r="D69" s="7" t="s">
        <v>92</v>
      </c>
      <c r="J69" t="s">
        <v>35</v>
      </c>
      <c r="K69" s="21"/>
      <c r="L69" s="21"/>
      <c r="M69" s="21"/>
      <c r="N69" s="21"/>
      <c r="O69" s="21">
        <v>2000</v>
      </c>
      <c r="P69" s="21"/>
      <c r="Q69" s="21"/>
      <c r="V69" t="s">
        <v>26</v>
      </c>
      <c r="W69" t="s">
        <v>25</v>
      </c>
      <c r="X69">
        <v>1</v>
      </c>
      <c r="Y69" t="s">
        <v>109</v>
      </c>
    </row>
    <row r="70" spans="1:25" x14ac:dyDescent="0.4">
      <c r="A70" s="12">
        <v>45820.910416666666</v>
      </c>
      <c r="B70" s="10">
        <v>0.91041666666666665</v>
      </c>
      <c r="C70" s="10" t="s">
        <v>231</v>
      </c>
      <c r="D70" s="7" t="s">
        <v>93</v>
      </c>
      <c r="J70" t="s">
        <v>21</v>
      </c>
      <c r="K70" s="21"/>
      <c r="L70" s="21"/>
      <c r="M70" s="21"/>
      <c r="N70" s="21"/>
      <c r="O70" s="21"/>
      <c r="P70" s="21"/>
      <c r="Q70" s="21">
        <v>5450</v>
      </c>
      <c r="V70" t="s">
        <v>25</v>
      </c>
      <c r="W70" t="s">
        <v>25</v>
      </c>
      <c r="X70">
        <v>1</v>
      </c>
      <c r="Y70" t="s">
        <v>110</v>
      </c>
    </row>
    <row r="71" spans="1:25" x14ac:dyDescent="0.4">
      <c r="A71" s="12">
        <v>45820.912499999999</v>
      </c>
      <c r="B71" s="10">
        <v>0.91249999999999998</v>
      </c>
      <c r="C71" s="10" t="s">
        <v>232</v>
      </c>
      <c r="D71" s="7" t="s">
        <v>94</v>
      </c>
      <c r="J71" t="s">
        <v>66</v>
      </c>
      <c r="K71" s="21"/>
      <c r="L71" s="21"/>
      <c r="M71" s="21"/>
      <c r="N71" s="21"/>
      <c r="O71" s="21"/>
      <c r="P71" s="21">
        <v>725</v>
      </c>
      <c r="Q71" s="21"/>
      <c r="V71" t="s">
        <v>26</v>
      </c>
      <c r="W71" t="s">
        <v>25</v>
      </c>
      <c r="X71">
        <v>1</v>
      </c>
      <c r="Y71" t="s">
        <v>111</v>
      </c>
    </row>
    <row r="72" spans="1:25" x14ac:dyDescent="0.4">
      <c r="A72" s="12">
        <v>45820.92291666667</v>
      </c>
      <c r="B72" s="10">
        <v>0.92291666666666672</v>
      </c>
      <c r="C72" s="10" t="s">
        <v>233</v>
      </c>
      <c r="D72" s="7" t="s">
        <v>95</v>
      </c>
      <c r="J72" t="s">
        <v>47</v>
      </c>
      <c r="K72" s="21">
        <v>1600</v>
      </c>
      <c r="L72" s="21">
        <v>1381</v>
      </c>
      <c r="M72" s="21">
        <v>1350</v>
      </c>
      <c r="N72" s="21">
        <v>1400</v>
      </c>
      <c r="O72" s="21"/>
      <c r="P72" s="21">
        <v>1399</v>
      </c>
      <c r="Q72" s="21"/>
      <c r="V72" t="s">
        <v>26</v>
      </c>
      <c r="W72" t="s">
        <v>25</v>
      </c>
      <c r="X72">
        <v>1</v>
      </c>
      <c r="Y72" t="s">
        <v>112</v>
      </c>
    </row>
    <row r="73" spans="1:25" x14ac:dyDescent="0.4">
      <c r="A73" s="12">
        <v>45820.925694444442</v>
      </c>
      <c r="B73" s="10">
        <v>0.92569444444444449</v>
      </c>
      <c r="C73" s="10" t="s">
        <v>234</v>
      </c>
      <c r="D73" s="7" t="s">
        <v>96</v>
      </c>
      <c r="J73" t="s">
        <v>35</v>
      </c>
      <c r="K73" s="21"/>
      <c r="L73" s="21"/>
      <c r="M73" s="21"/>
      <c r="N73" s="21"/>
      <c r="O73" s="21">
        <v>725</v>
      </c>
      <c r="P73" s="21"/>
      <c r="Q73" s="21"/>
      <c r="V73" t="s">
        <v>26</v>
      </c>
      <c r="W73" t="s">
        <v>25</v>
      </c>
      <c r="X73">
        <v>1</v>
      </c>
      <c r="Y73" t="s">
        <v>240</v>
      </c>
    </row>
    <row r="74" spans="1:25" x14ac:dyDescent="0.4">
      <c r="A74" s="12">
        <v>45820.926388888889</v>
      </c>
      <c r="B74" s="10">
        <v>0.92638888888888893</v>
      </c>
      <c r="C74" s="10" t="s">
        <v>235</v>
      </c>
      <c r="D74" s="7" t="s">
        <v>97</v>
      </c>
      <c r="J74" t="s">
        <v>35</v>
      </c>
      <c r="K74" s="21"/>
      <c r="L74" s="21"/>
      <c r="M74" s="21"/>
      <c r="N74" s="21"/>
      <c r="O74" s="21">
        <v>725</v>
      </c>
      <c r="P74" s="21"/>
      <c r="Q74" s="21"/>
      <c r="V74" t="s">
        <v>26</v>
      </c>
      <c r="W74" t="s">
        <v>25</v>
      </c>
      <c r="X74">
        <v>1</v>
      </c>
      <c r="Y74" t="s">
        <v>113</v>
      </c>
    </row>
    <row r="75" spans="1:25" x14ac:dyDescent="0.4">
      <c r="A75" s="12">
        <v>45820.927083333336</v>
      </c>
      <c r="B75" s="10">
        <v>0.92708333333333337</v>
      </c>
      <c r="C75" s="10" t="s">
        <v>236</v>
      </c>
      <c r="D75" s="7" t="s">
        <v>375</v>
      </c>
      <c r="J75" t="s">
        <v>20</v>
      </c>
      <c r="K75" s="21">
        <v>1290</v>
      </c>
      <c r="L75" s="21">
        <v>749</v>
      </c>
      <c r="M75" s="21">
        <v>949</v>
      </c>
      <c r="N75" s="21">
        <v>1290</v>
      </c>
      <c r="O75" s="21">
        <v>1590</v>
      </c>
      <c r="P75" s="21">
        <v>1788</v>
      </c>
      <c r="Q75" s="21">
        <v>13500</v>
      </c>
      <c r="V75" t="s">
        <v>25</v>
      </c>
      <c r="W75" t="s">
        <v>25</v>
      </c>
      <c r="X75">
        <v>1</v>
      </c>
      <c r="Y75" t="s">
        <v>374</v>
      </c>
    </row>
    <row r="76" spans="1:25" x14ac:dyDescent="0.4">
      <c r="A76" s="12">
        <v>45820.929166666669</v>
      </c>
      <c r="B76" s="10">
        <v>0.9291666666666667</v>
      </c>
      <c r="C76" s="10" t="s">
        <v>237</v>
      </c>
      <c r="D76" s="7" t="s">
        <v>98</v>
      </c>
      <c r="J76" t="s">
        <v>24</v>
      </c>
      <c r="K76" s="21">
        <v>2200</v>
      </c>
      <c r="L76" s="21">
        <v>1000</v>
      </c>
      <c r="M76" s="21">
        <v>1400</v>
      </c>
      <c r="N76" s="21">
        <v>2300</v>
      </c>
      <c r="O76" s="21">
        <v>1500</v>
      </c>
      <c r="P76" s="21">
        <v>2700</v>
      </c>
      <c r="Q76" s="21"/>
      <c r="V76" t="s">
        <v>26</v>
      </c>
      <c r="W76" t="s">
        <v>25</v>
      </c>
      <c r="X76">
        <v>1</v>
      </c>
      <c r="Y76" t="s">
        <v>114</v>
      </c>
    </row>
    <row r="77" spans="1:25" s="15" customFormat="1" x14ac:dyDescent="0.4">
      <c r="A77" s="14"/>
      <c r="D77" s="16"/>
      <c r="K77" s="15" t="s">
        <v>5</v>
      </c>
      <c r="L77" s="15" t="s">
        <v>244</v>
      </c>
      <c r="M77" s="15" t="s">
        <v>6</v>
      </c>
      <c r="N77" s="15" t="s">
        <v>7</v>
      </c>
      <c r="O77" s="15" t="s">
        <v>8</v>
      </c>
      <c r="P77" s="15" t="s">
        <v>9</v>
      </c>
      <c r="Q77" s="15" t="s">
        <v>10</v>
      </c>
    </row>
    <row r="78" spans="1:25" x14ac:dyDescent="0.4">
      <c r="A78" s="12">
        <v>46002</v>
      </c>
      <c r="B78" s="17">
        <v>0.69861111111111107</v>
      </c>
      <c r="C78" s="10" t="s">
        <v>335</v>
      </c>
      <c r="D78" s="8" t="s">
        <v>377</v>
      </c>
      <c r="J78" t="s">
        <v>35</v>
      </c>
      <c r="K78" s="21">
        <f>IFERROR(solapados_tanda1y2!$P$39*INDEX('z_datos originales'!$C$77:$Q$108,MATCH(limpieza_datos!$C78,'z_datos originales'!$C$77:$C$108,0),MATCH(limpieza_datos!$K$77,'z_datos originales'!$C$77:$Q$77,0)),"")</f>
        <v>0</v>
      </c>
      <c r="L78" s="21">
        <f>IFERROR(solapados_tanda1y2!$P$39*INDEX('z_datos originales'!$C$77:$Q$108,MATCH(limpieza_datos!$C78,'z_datos originales'!$C$77:$C$108,0),MATCH(limpieza_datos!L$77,'z_datos originales'!$C$77:$Q$77,0)),"")</f>
        <v>0</v>
      </c>
      <c r="M78" s="21">
        <f>IFERROR(solapados_tanda1y2!$P$39*INDEX('z_datos originales'!$C$77:$Q$108,MATCH(limpieza_datos!$C78,'z_datos originales'!$C$77:$C$108,0),MATCH(limpieza_datos!M$77,'z_datos originales'!$C$77:$Q$77,0)),"")</f>
        <v>0</v>
      </c>
      <c r="N78" s="21">
        <f>IFERROR(solapados_tanda1y2!$P$39*INDEX('z_datos originales'!$C$77:$Q$108,MATCH(limpieza_datos!$C78,'z_datos originales'!$C$77:$C$108,0),MATCH(limpieza_datos!N$77,'z_datos originales'!$C$77:$Q$77,0)),"")</f>
        <v>0</v>
      </c>
      <c r="O78" s="21">
        <f>IFERROR(solapados_tanda1y2!$P$39*INDEX('z_datos originales'!$C$77:$Q$108,MATCH(limpieza_datos!$C78,'z_datos originales'!$C$77:$C$108,0),MATCH(limpieza_datos!O$77,'z_datos originales'!$C$77:$Q$77,0)),"")</f>
        <v>1107.6923076923078</v>
      </c>
      <c r="P78" s="21">
        <f>IFERROR(solapados_tanda1y2!$P$39*INDEX('z_datos originales'!$C$77:$Q$108,MATCH(limpieza_datos!$C78,'z_datos originales'!$C$77:$C$108,0),MATCH(limpieza_datos!P$77,'z_datos originales'!$C$77:$Q$77,0)),"")</f>
        <v>0</v>
      </c>
      <c r="Q78" s="21">
        <f>IFERROR(solapados_tanda1y2!$P$39*INDEX('z_datos originales'!$C$77:$Q$108,MATCH(limpieza_datos!$C78,'z_datos originales'!$C$77:$C$108,0),MATCH(limpieza_datos!Q$77,'z_datos originales'!$C$77:$Q$77,0)),"")</f>
        <v>0</v>
      </c>
      <c r="V78" t="s">
        <v>26</v>
      </c>
      <c r="W78" t="s">
        <v>25</v>
      </c>
      <c r="X78">
        <v>2</v>
      </c>
      <c r="Y78" t="s">
        <v>376</v>
      </c>
    </row>
    <row r="79" spans="1:25" x14ac:dyDescent="0.4">
      <c r="A79" s="12">
        <v>46002</v>
      </c>
      <c r="B79" s="17">
        <v>0.7</v>
      </c>
      <c r="C79" s="10" t="s">
        <v>336</v>
      </c>
      <c r="D79" s="8" t="s">
        <v>247</v>
      </c>
      <c r="J79" t="s">
        <v>24</v>
      </c>
      <c r="K79" s="21">
        <f>IFERROR(solapados_tanda1y2!$P$39*INDEX('z_datos originales'!$C$77:$Q$108,MATCH(limpieza_datos!$C79,'z_datos originales'!$C$77:$C$108,0),MATCH(limpieza_datos!$K$77,'z_datos originales'!$C$77:$Q$77,0)),"")</f>
        <v>1384.6153846153848</v>
      </c>
      <c r="L79" s="21">
        <f>IFERROR(solapados_tanda1y2!$P$39*INDEX('z_datos originales'!$C$77:$Q$108,MATCH(limpieza_datos!$C79,'z_datos originales'!$C$77:$C$108,0),MATCH(limpieza_datos!L$77,'z_datos originales'!$C$77:$Q$77,0)),"")</f>
        <v>1107.6923076923078</v>
      </c>
      <c r="M79" s="21">
        <f>IFERROR(solapados_tanda1y2!$P$39*INDEX('z_datos originales'!$C$77:$Q$108,MATCH(limpieza_datos!$C79,'z_datos originales'!$C$77:$C$108,0),MATCH(limpieza_datos!M$77,'z_datos originales'!$C$77:$Q$77,0)),"")</f>
        <v>1384.6153846153848</v>
      </c>
      <c r="N79" s="21">
        <f>IFERROR(solapados_tanda1y2!$P$39*INDEX('z_datos originales'!$C$77:$Q$108,MATCH(limpieza_datos!$C79,'z_datos originales'!$C$77:$C$108,0),MATCH(limpieza_datos!N$77,'z_datos originales'!$C$77:$Q$77,0)),"")</f>
        <v>1384.6153846153848</v>
      </c>
      <c r="O79" s="21">
        <f>IFERROR(solapados_tanda1y2!$P$39*INDEX('z_datos originales'!$C$77:$Q$108,MATCH(limpieza_datos!$C79,'z_datos originales'!$C$77:$C$108,0),MATCH(limpieza_datos!O$77,'z_datos originales'!$C$77:$Q$77,0)),"")</f>
        <v>0</v>
      </c>
      <c r="P79" s="21">
        <f>IFERROR(solapados_tanda1y2!$P$39*INDEX('z_datos originales'!$C$77:$Q$108,MATCH(limpieza_datos!$C79,'z_datos originales'!$C$77:$C$108,0),MATCH(limpieza_datos!P$77,'z_datos originales'!$C$77:$Q$77,0)),"")</f>
        <v>1661.5384615384617</v>
      </c>
      <c r="Q79" s="21">
        <f>IFERROR(solapados_tanda1y2!$P$39*INDEX('z_datos originales'!$C$77:$Q$108,MATCH(limpieza_datos!$C79,'z_datos originales'!$C$77:$C$108,0),MATCH(limpieza_datos!Q$77,'z_datos originales'!$C$77:$Q$77,0)),"")</f>
        <v>0</v>
      </c>
      <c r="V79" t="s">
        <v>26</v>
      </c>
      <c r="W79" t="s">
        <v>25</v>
      </c>
      <c r="X79">
        <v>2</v>
      </c>
      <c r="Y79" t="s">
        <v>306</v>
      </c>
    </row>
    <row r="80" spans="1:25" x14ac:dyDescent="0.4">
      <c r="A80" s="12">
        <v>46002</v>
      </c>
      <c r="B80" s="17">
        <v>0.70277777777777772</v>
      </c>
      <c r="C80" s="10" t="s">
        <v>337</v>
      </c>
      <c r="D80" s="8" t="s">
        <v>248</v>
      </c>
      <c r="J80" t="s">
        <v>21</v>
      </c>
      <c r="K80" s="21">
        <f>IFERROR(solapados_tanda1y2!$P$39*INDEX('z_datos originales'!$C$77:$Q$108,MATCH(limpieza_datos!$C80,'z_datos originales'!$C$77:$C$108,0),MATCH(limpieza_datos!$K$77,'z_datos originales'!$C$77:$Q$77,0)),"")</f>
        <v>0</v>
      </c>
      <c r="L80" s="21">
        <f>IFERROR(solapados_tanda1y2!$P$39*INDEX('z_datos originales'!$C$77:$Q$108,MATCH(limpieza_datos!$C80,'z_datos originales'!$C$77:$C$108,0),MATCH(limpieza_datos!L$77,'z_datos originales'!$C$77:$Q$77,0)),"")</f>
        <v>0</v>
      </c>
      <c r="M80" s="21">
        <f>IFERROR(solapados_tanda1y2!$P$39*INDEX('z_datos originales'!$C$77:$Q$108,MATCH(limpieza_datos!$C80,'z_datos originales'!$C$77:$C$108,0),MATCH(limpieza_datos!M$77,'z_datos originales'!$C$77:$Q$77,0)),"")</f>
        <v>0</v>
      </c>
      <c r="N80" s="21">
        <f>IFERROR(solapados_tanda1y2!$P$39*INDEX('z_datos originales'!$C$77:$Q$108,MATCH(limpieza_datos!$C80,'z_datos originales'!$C$77:$C$108,0),MATCH(limpieza_datos!N$77,'z_datos originales'!$C$77:$Q$77,0)),"")</f>
        <v>0</v>
      </c>
      <c r="O80" s="21">
        <f>IFERROR(solapados_tanda1y2!$P$39*INDEX('z_datos originales'!$C$77:$Q$108,MATCH(limpieza_datos!$C80,'z_datos originales'!$C$77:$C$108,0),MATCH(limpieza_datos!O$77,'z_datos originales'!$C$77:$Q$77,0)),"")</f>
        <v>0</v>
      </c>
      <c r="P80" s="21">
        <f>IFERROR(solapados_tanda1y2!$P$39*INDEX('z_datos originales'!$C$77:$Q$108,MATCH(limpieza_datos!$C80,'z_datos originales'!$C$77:$C$108,0),MATCH(limpieza_datos!P$77,'z_datos originales'!$C$77:$Q$77,0)),"")</f>
        <v>0</v>
      </c>
      <c r="Q80" s="21">
        <f>IFERROR(solapados_tanda1y2!$P$39*INDEX('z_datos originales'!$C$77:$Q$108,MATCH(limpieza_datos!$C80,'z_datos originales'!$C$77:$C$108,0),MATCH(limpieza_datos!Q$77,'z_datos originales'!$C$77:$Q$77,0)),"")</f>
        <v>12830.769230769232</v>
      </c>
      <c r="V80" t="s">
        <v>25</v>
      </c>
      <c r="W80" t="s">
        <v>25</v>
      </c>
      <c r="X80">
        <v>2</v>
      </c>
      <c r="Y80" t="s">
        <v>307</v>
      </c>
    </row>
    <row r="81" spans="1:25" x14ac:dyDescent="0.4">
      <c r="A81" s="12">
        <v>46002</v>
      </c>
      <c r="B81" s="17">
        <v>0.70972222222222225</v>
      </c>
      <c r="C81" s="10" t="s">
        <v>338</v>
      </c>
      <c r="D81" s="8" t="s">
        <v>250</v>
      </c>
      <c r="J81" t="s">
        <v>66</v>
      </c>
      <c r="K81" s="21">
        <f>IFERROR(solapados_tanda1y2!$P$39*INDEX('z_datos originales'!$C$77:$Q$108,MATCH(limpieza_datos!$C81,'z_datos originales'!$C$77:$C$108,0),MATCH(limpieza_datos!$K$77,'z_datos originales'!$C$77:$Q$77,0)),"")</f>
        <v>0</v>
      </c>
      <c r="L81" s="21">
        <f>IFERROR(solapados_tanda1y2!$P$39*INDEX('z_datos originales'!$C$77:$Q$108,MATCH(limpieza_datos!$C81,'z_datos originales'!$C$77:$C$108,0),MATCH(limpieza_datos!L$77,'z_datos originales'!$C$77:$Q$77,0)),"")</f>
        <v>0</v>
      </c>
      <c r="M81" s="21">
        <f>IFERROR(solapados_tanda1y2!$P$39*INDEX('z_datos originales'!$C$77:$Q$108,MATCH(limpieza_datos!$C81,'z_datos originales'!$C$77:$C$108,0),MATCH(limpieza_datos!M$77,'z_datos originales'!$C$77:$Q$77,0)),"")</f>
        <v>0</v>
      </c>
      <c r="N81" s="21">
        <f>IFERROR(solapados_tanda1y2!$P$39*INDEX('z_datos originales'!$C$77:$Q$108,MATCH(limpieza_datos!$C81,'z_datos originales'!$C$77:$C$108,0),MATCH(limpieza_datos!N$77,'z_datos originales'!$C$77:$Q$77,0)),"")</f>
        <v>0</v>
      </c>
      <c r="O81" s="21">
        <f>IFERROR(solapados_tanda1y2!$P$39*INDEX('z_datos originales'!$C$77:$Q$108,MATCH(limpieza_datos!$C81,'z_datos originales'!$C$77:$C$108,0),MATCH(limpieza_datos!O$77,'z_datos originales'!$C$77:$Q$77,0)),"")</f>
        <v>0</v>
      </c>
      <c r="P81" s="21">
        <f>IFERROR(solapados_tanda1y2!$P$39*INDEX('z_datos originales'!$C$77:$Q$108,MATCH(limpieza_datos!$C81,'z_datos originales'!$C$77:$C$108,0),MATCH(limpieza_datos!P$77,'z_datos originales'!$C$77:$Q$77,0)),"")</f>
        <v>2769.2307692307695</v>
      </c>
      <c r="Q81" s="21">
        <f>IFERROR(solapados_tanda1y2!$P$39*INDEX('z_datos originales'!$C$77:$Q$108,MATCH(limpieza_datos!$C81,'z_datos originales'!$C$77:$C$108,0),MATCH(limpieza_datos!Q$77,'z_datos originales'!$C$77:$Q$77,0)),"")</f>
        <v>0</v>
      </c>
      <c r="V81" t="s">
        <v>26</v>
      </c>
      <c r="W81" t="s">
        <v>25</v>
      </c>
      <c r="X81">
        <v>2</v>
      </c>
      <c r="Y81" t="s">
        <v>308</v>
      </c>
    </row>
    <row r="82" spans="1:25" x14ac:dyDescent="0.4">
      <c r="A82" s="12">
        <v>46002</v>
      </c>
      <c r="B82" s="17">
        <v>0.71875</v>
      </c>
      <c r="C82" s="10" t="s">
        <v>342</v>
      </c>
      <c r="D82" s="8" t="s">
        <v>258</v>
      </c>
      <c r="J82" t="s">
        <v>21</v>
      </c>
      <c r="K82" s="21">
        <f>IFERROR(solapados_tanda1y2!$P$39*INDEX('z_datos originales'!$C$77:$Q$108,MATCH(limpieza_datos!$C82,'z_datos originales'!$C$77:$C$108,0),MATCH(limpieza_datos!$K$77,'z_datos originales'!$C$77:$Q$77,0)),"")</f>
        <v>0</v>
      </c>
      <c r="L82" s="21">
        <f>IFERROR(solapados_tanda1y2!$P$39*INDEX('z_datos originales'!$C$77:$Q$108,MATCH(limpieza_datos!$C82,'z_datos originales'!$C$77:$C$108,0),MATCH(limpieza_datos!L$77,'z_datos originales'!$C$77:$Q$77,0)),"")</f>
        <v>0</v>
      </c>
      <c r="M82" s="21">
        <f>IFERROR(solapados_tanda1y2!$P$39*INDEX('z_datos originales'!$C$77:$Q$108,MATCH(limpieza_datos!$C82,'z_datos originales'!$C$77:$C$108,0),MATCH(limpieza_datos!M$77,'z_datos originales'!$C$77:$Q$77,0)),"")</f>
        <v>0</v>
      </c>
      <c r="N82" s="21">
        <f>IFERROR(solapados_tanda1y2!$P$39*INDEX('z_datos originales'!$C$77:$Q$108,MATCH(limpieza_datos!$C82,'z_datos originales'!$C$77:$C$108,0),MATCH(limpieza_datos!N$77,'z_datos originales'!$C$77:$Q$77,0)),"")</f>
        <v>0</v>
      </c>
      <c r="O82" s="21">
        <f>IFERROR(solapados_tanda1y2!$P$39*INDEX('z_datos originales'!$C$77:$Q$108,MATCH(limpieza_datos!$C82,'z_datos originales'!$C$77:$C$108,0),MATCH(limpieza_datos!O$77,'z_datos originales'!$C$77:$Q$77,0)),"")</f>
        <v>0</v>
      </c>
      <c r="P82" s="21">
        <f>IFERROR(solapados_tanda1y2!$P$39*INDEX('z_datos originales'!$C$77:$Q$108,MATCH(limpieza_datos!$C82,'z_datos originales'!$C$77:$C$108,0),MATCH(limpieza_datos!P$77,'z_datos originales'!$C$77:$Q$77,0)),"")</f>
        <v>0</v>
      </c>
      <c r="Q82" s="21">
        <f>IFERROR(solapados_tanda1y2!$P$39*INDEX('z_datos originales'!$C$77:$Q$108,MATCH(limpieza_datos!$C82,'z_datos originales'!$C$77:$C$108,0),MATCH(limpieza_datos!Q$77,'z_datos originales'!$C$77:$Q$77,0)),"")</f>
        <v>12830.769230769232</v>
      </c>
      <c r="V82" t="s">
        <v>25</v>
      </c>
      <c r="W82" t="s">
        <v>25</v>
      </c>
      <c r="X82">
        <v>2</v>
      </c>
      <c r="Y82" t="s">
        <v>312</v>
      </c>
    </row>
    <row r="83" spans="1:25" x14ac:dyDescent="0.4">
      <c r="A83" s="12">
        <v>46002</v>
      </c>
      <c r="B83" s="17">
        <v>0.72152777777777777</v>
      </c>
      <c r="C83" s="10" t="s">
        <v>343</v>
      </c>
      <c r="D83" s="8" t="s">
        <v>261</v>
      </c>
      <c r="J83" t="s">
        <v>20</v>
      </c>
      <c r="K83" s="21">
        <f>IFERROR(solapados_tanda1y2!$P$39*INDEX('z_datos originales'!$C$77:$Q$108,MATCH(limpieza_datos!$C83,'z_datos originales'!$C$77:$C$108,0),MATCH(limpieza_datos!$K$77,'z_datos originales'!$C$77:$Q$77,0)),"")</f>
        <v>1098.4615384615386</v>
      </c>
      <c r="L83" s="21">
        <f>IFERROR(solapados_tanda1y2!$P$39*INDEX('z_datos originales'!$C$77:$Q$108,MATCH(limpieza_datos!$C83,'z_datos originales'!$C$77:$C$108,0),MATCH(limpieza_datos!L$77,'z_datos originales'!$C$77:$Q$77,0)),"")</f>
        <v>900</v>
      </c>
      <c r="M83" s="21">
        <f>IFERROR(solapados_tanda1y2!$P$39*INDEX('z_datos originales'!$C$77:$Q$108,MATCH(limpieza_datos!$C83,'z_datos originales'!$C$77:$C$108,0),MATCH(limpieza_datos!M$77,'z_datos originales'!$C$77:$Q$77,0)),"")</f>
        <v>922.15384615384619</v>
      </c>
      <c r="N83" s="21">
        <f>IFERROR(solapados_tanda1y2!$P$39*INDEX('z_datos originales'!$C$77:$Q$108,MATCH(limpieza_datos!$C83,'z_datos originales'!$C$77:$C$108,0),MATCH(limpieza_datos!N$77,'z_datos originales'!$C$77:$Q$77,0)),"")</f>
        <v>1098.4615384615386</v>
      </c>
      <c r="O83" s="21">
        <f>IFERROR(solapados_tanda1y2!$P$39*INDEX('z_datos originales'!$C$77:$Q$108,MATCH(limpieza_datos!$C83,'z_datos originales'!$C$77:$C$108,0),MATCH(limpieza_datos!O$77,'z_datos originales'!$C$77:$Q$77,0)),"")</f>
        <v>1384.6153846153848</v>
      </c>
      <c r="P83" s="21">
        <f>IFERROR(solapados_tanda1y2!$P$39*INDEX('z_datos originales'!$C$77:$Q$108,MATCH(limpieza_datos!$C83,'z_datos originales'!$C$77:$C$108,0),MATCH(limpieza_datos!P$77,'z_datos originales'!$C$77:$Q$77,0)),"")</f>
        <v>2030.7692307692309</v>
      </c>
      <c r="Q83" s="21">
        <f>IFERROR(solapados_tanda1y2!$P$39*INDEX('z_datos originales'!$C$77:$Q$108,MATCH(limpieza_datos!$C83,'z_datos originales'!$C$77:$C$108,0),MATCH(limpieza_datos!Q$77,'z_datos originales'!$C$77:$Q$77,0)),"")</f>
        <v>12913.846153846154</v>
      </c>
      <c r="V83" t="s">
        <v>25</v>
      </c>
      <c r="W83" t="s">
        <v>25</v>
      </c>
      <c r="X83">
        <v>2</v>
      </c>
      <c r="Y83" t="s">
        <v>313</v>
      </c>
    </row>
    <row r="84" spans="1:25" x14ac:dyDescent="0.4">
      <c r="A84" s="12">
        <v>46002</v>
      </c>
      <c r="B84" s="17">
        <v>0.73750000000000004</v>
      </c>
      <c r="C84" s="10" t="s">
        <v>344</v>
      </c>
      <c r="D84" s="8" t="s">
        <v>263</v>
      </c>
      <c r="J84" t="s">
        <v>35</v>
      </c>
      <c r="K84" s="21">
        <f>IFERROR(solapados_tanda1y2!$P$39*INDEX('z_datos originales'!$C$77:$Q$108,MATCH(limpieza_datos!$C84,'z_datos originales'!$C$77:$C$108,0),MATCH(limpieza_datos!$K$77,'z_datos originales'!$C$77:$Q$77,0)),"")</f>
        <v>0</v>
      </c>
      <c r="L84" s="21">
        <f>IFERROR(solapados_tanda1y2!$P$39*INDEX('z_datos originales'!$C$77:$Q$108,MATCH(limpieza_datos!$C84,'z_datos originales'!$C$77:$C$108,0),MATCH(limpieza_datos!L$77,'z_datos originales'!$C$77:$Q$77,0)),"")</f>
        <v>0</v>
      </c>
      <c r="M84" s="21">
        <f>IFERROR(solapados_tanda1y2!$P$39*INDEX('z_datos originales'!$C$77:$Q$108,MATCH(limpieza_datos!$C84,'z_datos originales'!$C$77:$C$108,0),MATCH(limpieza_datos!M$77,'z_datos originales'!$C$77:$Q$77,0)),"")</f>
        <v>0</v>
      </c>
      <c r="N84" s="21">
        <f>IFERROR(solapados_tanda1y2!$P$39*INDEX('z_datos originales'!$C$77:$Q$108,MATCH(limpieza_datos!$C84,'z_datos originales'!$C$77:$C$108,0),MATCH(limpieza_datos!N$77,'z_datos originales'!$C$77:$Q$77,0)),"")</f>
        <v>0</v>
      </c>
      <c r="O84" s="21">
        <f>IFERROR(solapados_tanda1y2!$P$39*INDEX('z_datos originales'!$C$77:$Q$108,MATCH(limpieza_datos!$C84,'z_datos originales'!$C$77:$C$108,0),MATCH(limpieza_datos!O$77,'z_datos originales'!$C$77:$Q$77,0)),"")</f>
        <v>923.07692307692309</v>
      </c>
      <c r="P84" s="21">
        <f>IFERROR(solapados_tanda1y2!$P$39*INDEX('z_datos originales'!$C$77:$Q$108,MATCH(limpieza_datos!$C84,'z_datos originales'!$C$77:$C$108,0),MATCH(limpieza_datos!P$77,'z_datos originales'!$C$77:$Q$77,0)),"")</f>
        <v>0</v>
      </c>
      <c r="Q84" s="21">
        <f>IFERROR(solapados_tanda1y2!$P$39*INDEX('z_datos originales'!$C$77:$Q$108,MATCH(limpieza_datos!$C84,'z_datos originales'!$C$77:$C$108,0),MATCH(limpieza_datos!Q$77,'z_datos originales'!$C$77:$Q$77,0)),"")</f>
        <v>0</v>
      </c>
      <c r="V84" t="s">
        <v>26</v>
      </c>
      <c r="W84" t="s">
        <v>25</v>
      </c>
      <c r="X84">
        <v>2</v>
      </c>
      <c r="Y84" t="s">
        <v>314</v>
      </c>
    </row>
    <row r="85" spans="1:25" x14ac:dyDescent="0.4">
      <c r="A85" s="12">
        <v>46002</v>
      </c>
      <c r="B85" s="17">
        <v>0.73819444444444449</v>
      </c>
      <c r="C85" s="10" t="s">
        <v>345</v>
      </c>
      <c r="D85" s="8" t="s">
        <v>265</v>
      </c>
      <c r="J85" t="s">
        <v>24</v>
      </c>
      <c r="K85" s="21">
        <f>IFERROR(solapados_tanda1y2!$P$39*INDEX('z_datos originales'!$C$77:$Q$108,MATCH(limpieza_datos!$C85,'z_datos originales'!$C$77:$C$108,0),MATCH(limpieza_datos!$K$77,'z_datos originales'!$C$77:$Q$77,0)),"")</f>
        <v>1753.846153846154</v>
      </c>
      <c r="L85" s="21">
        <f>IFERROR(solapados_tanda1y2!$P$39*INDEX('z_datos originales'!$C$77:$Q$108,MATCH(limpieza_datos!$C85,'z_datos originales'!$C$77:$C$108,0),MATCH(limpieza_datos!L$77,'z_datos originales'!$C$77:$Q$77,0)),"")</f>
        <v>1107.6923076923078</v>
      </c>
      <c r="M85" s="21">
        <f>IFERROR(solapados_tanda1y2!$P$39*INDEX('z_datos originales'!$C$77:$Q$108,MATCH(limpieza_datos!$C85,'z_datos originales'!$C$77:$C$108,0),MATCH(limpieza_datos!M$77,'z_datos originales'!$C$77:$Q$77,0)),"")</f>
        <v>1661.5384615384617</v>
      </c>
      <c r="N85" s="21">
        <f>IFERROR(solapados_tanda1y2!$P$39*INDEX('z_datos originales'!$C$77:$Q$108,MATCH(limpieza_datos!$C85,'z_datos originales'!$C$77:$C$108,0),MATCH(limpieza_datos!N$77,'z_datos originales'!$C$77:$Q$77,0)),"")</f>
        <v>2769.2307692307695</v>
      </c>
      <c r="O85" s="21">
        <f>IFERROR(solapados_tanda1y2!$P$39*INDEX('z_datos originales'!$C$77:$Q$108,MATCH(limpieza_datos!$C85,'z_datos originales'!$C$77:$C$108,0),MATCH(limpieza_datos!O$77,'z_datos originales'!$C$77:$Q$77,0)),"")</f>
        <v>0</v>
      </c>
      <c r="P85" s="21">
        <f>IFERROR(solapados_tanda1y2!$P$39*INDEX('z_datos originales'!$C$77:$Q$108,MATCH(limpieza_datos!$C85,'z_datos originales'!$C$77:$C$108,0),MATCH(limpieza_datos!P$77,'z_datos originales'!$C$77:$Q$77,0)),"")</f>
        <v>0</v>
      </c>
      <c r="Q85" s="21">
        <f>IFERROR(solapados_tanda1y2!$P$39*INDEX('z_datos originales'!$C$77:$Q$108,MATCH(limpieza_datos!$C85,'z_datos originales'!$C$77:$C$108,0),MATCH(limpieza_datos!Q$77,'z_datos originales'!$C$77:$Q$77,0)),"")</f>
        <v>9230.7692307692305</v>
      </c>
      <c r="V85" t="s">
        <v>26</v>
      </c>
      <c r="W85" t="s">
        <v>25</v>
      </c>
      <c r="X85">
        <v>2</v>
      </c>
      <c r="Y85" t="s">
        <v>315</v>
      </c>
    </row>
    <row r="86" spans="1:25" x14ac:dyDescent="0.4">
      <c r="A86" s="12">
        <v>46002</v>
      </c>
      <c r="B86" s="17">
        <v>0.74097222222222225</v>
      </c>
      <c r="C86" s="10" t="s">
        <v>346</v>
      </c>
      <c r="D86" s="8" t="s">
        <v>267</v>
      </c>
      <c r="J86" t="s">
        <v>69</v>
      </c>
      <c r="K86" s="21">
        <f>IFERROR(solapados_tanda1y2!$P$39*INDEX('z_datos originales'!$C$77:$Q$108,MATCH(limpieza_datos!$C86,'z_datos originales'!$C$77:$C$108,0),MATCH(limpieza_datos!$K$77,'z_datos originales'!$C$77:$Q$77,0)),"")</f>
        <v>1098.4615384615386</v>
      </c>
      <c r="L86" s="21">
        <f>IFERROR(solapados_tanda1y2!$P$39*INDEX('z_datos originales'!$C$77:$Q$108,MATCH(limpieza_datos!$C86,'z_datos originales'!$C$77:$C$108,0),MATCH(limpieza_datos!L$77,'z_datos originales'!$C$77:$Q$77,0)),"")</f>
        <v>900</v>
      </c>
      <c r="M86" s="21">
        <f>IFERROR(solapados_tanda1y2!$P$39*INDEX('z_datos originales'!$C$77:$Q$108,MATCH(limpieza_datos!$C86,'z_datos originales'!$C$77:$C$108,0),MATCH(limpieza_datos!M$77,'z_datos originales'!$C$77:$Q$77,0)),"")</f>
        <v>922.15384615384619</v>
      </c>
      <c r="N86" s="21">
        <f>IFERROR(solapados_tanda1y2!$P$39*INDEX('z_datos originales'!$C$77:$Q$108,MATCH(limpieza_datos!$C86,'z_datos originales'!$C$77:$C$108,0),MATCH(limpieza_datos!N$77,'z_datos originales'!$C$77:$Q$77,0)),"")</f>
        <v>1098.4615384615386</v>
      </c>
      <c r="O86" s="21">
        <f>IFERROR(solapados_tanda1y2!$P$39*INDEX('z_datos originales'!$C$77:$Q$108,MATCH(limpieza_datos!$C86,'z_datos originales'!$C$77:$C$108,0),MATCH(limpieza_datos!O$77,'z_datos originales'!$C$77:$Q$77,0)),"")</f>
        <v>1384.6153846153848</v>
      </c>
      <c r="P86" s="21">
        <f>IFERROR(solapados_tanda1y2!$P$39*INDEX('z_datos originales'!$C$77:$Q$108,MATCH(limpieza_datos!$C86,'z_datos originales'!$C$77:$C$108,0),MATCH(limpieza_datos!P$77,'z_datos originales'!$C$77:$Q$77,0)),"")</f>
        <v>2030.7692307692309</v>
      </c>
      <c r="Q86" s="21">
        <f>IFERROR(solapados_tanda1y2!$P$39*INDEX('z_datos originales'!$C$77:$Q$108,MATCH(limpieza_datos!$C86,'z_datos originales'!$C$77:$C$108,0),MATCH(limpieza_datos!Q$77,'z_datos originales'!$C$77:$Q$77,0)),"")</f>
        <v>12913.846153846154</v>
      </c>
      <c r="V86" t="s">
        <v>25</v>
      </c>
      <c r="W86" t="s">
        <v>25</v>
      </c>
      <c r="X86">
        <v>2</v>
      </c>
      <c r="Y86" t="s">
        <v>316</v>
      </c>
    </row>
    <row r="87" spans="1:25" x14ac:dyDescent="0.4">
      <c r="A87" s="12">
        <v>46002</v>
      </c>
      <c r="B87" s="17">
        <v>0.76111111111111107</v>
      </c>
      <c r="C87" s="10" t="s">
        <v>348</v>
      </c>
      <c r="D87" s="8" t="s">
        <v>271</v>
      </c>
      <c r="J87" t="s">
        <v>47</v>
      </c>
      <c r="K87" s="21">
        <f>IFERROR(solapados_tanda1y2!$P$39*INDEX('z_datos originales'!$C$77:$Q$108,MATCH(limpieza_datos!$C87,'z_datos originales'!$C$77:$C$108,0),MATCH(limpieza_datos!$K$77,'z_datos originales'!$C$77:$Q$77,0)),"")</f>
        <v>2030.7692307692309</v>
      </c>
      <c r="L87" s="21">
        <f>IFERROR(solapados_tanda1y2!$P$39*INDEX('z_datos originales'!$C$77:$Q$108,MATCH(limpieza_datos!$C87,'z_datos originales'!$C$77:$C$108,0),MATCH(limpieza_datos!L$77,'z_datos originales'!$C$77:$Q$77,0)),"")</f>
        <v>2030.7692307692309</v>
      </c>
      <c r="M87" s="21">
        <f>IFERROR(solapados_tanda1y2!$P$39*INDEX('z_datos originales'!$C$77:$Q$108,MATCH(limpieza_datos!$C87,'z_datos originales'!$C$77:$C$108,0),MATCH(limpieza_datos!M$77,'z_datos originales'!$C$77:$Q$77,0)),"")</f>
        <v>1846.1538461538462</v>
      </c>
      <c r="N87" s="21">
        <f>IFERROR(solapados_tanda1y2!$P$39*INDEX('z_datos originales'!$C$77:$Q$108,MATCH(limpieza_datos!$C87,'z_datos originales'!$C$77:$C$108,0),MATCH(limpieza_datos!N$77,'z_datos originales'!$C$77:$Q$77,0)),"")</f>
        <v>0</v>
      </c>
      <c r="O87" s="21">
        <f>IFERROR(solapados_tanda1y2!$P$39*INDEX('z_datos originales'!$C$77:$Q$108,MATCH(limpieza_datos!$C87,'z_datos originales'!$C$77:$C$108,0),MATCH(limpieza_datos!O$77,'z_datos originales'!$C$77:$Q$77,0)),"")</f>
        <v>1846.1538461538462</v>
      </c>
      <c r="P87" s="21">
        <f>IFERROR(solapados_tanda1y2!$P$39*INDEX('z_datos originales'!$C$77:$Q$108,MATCH(limpieza_datos!$C87,'z_datos originales'!$C$77:$C$108,0),MATCH(limpieza_datos!P$77,'z_datos originales'!$C$77:$Q$77,0)),"")</f>
        <v>0</v>
      </c>
      <c r="Q87" s="21">
        <f>IFERROR(solapados_tanda1y2!$P$39*INDEX('z_datos originales'!$C$77:$Q$108,MATCH(limpieza_datos!$C87,'z_datos originales'!$C$77:$C$108,0),MATCH(limpieza_datos!Q$77,'z_datos originales'!$C$77:$Q$77,0)),"")</f>
        <v>0</v>
      </c>
      <c r="V87" t="s">
        <v>26</v>
      </c>
      <c r="W87" t="s">
        <v>25</v>
      </c>
      <c r="X87">
        <v>2</v>
      </c>
      <c r="Y87" t="s">
        <v>318</v>
      </c>
    </row>
    <row r="88" spans="1:25" x14ac:dyDescent="0.4">
      <c r="A88" s="12">
        <v>46002</v>
      </c>
      <c r="B88" s="17">
        <v>0.7631944444444444</v>
      </c>
      <c r="C88" s="10" t="s">
        <v>349</v>
      </c>
      <c r="D88" s="8" t="s">
        <v>273</v>
      </c>
      <c r="J88" t="s">
        <v>24</v>
      </c>
      <c r="K88" s="21">
        <f>IFERROR(solapados_tanda1y2!$P$39*INDEX('z_datos originales'!$C$77:$Q$108,MATCH(limpieza_datos!$C88,'z_datos originales'!$C$77:$C$108,0),MATCH(limpieza_datos!$K$77,'z_datos originales'!$C$77:$Q$77,0)),"")</f>
        <v>1753.846153846154</v>
      </c>
      <c r="L88" s="21">
        <f>IFERROR(solapados_tanda1y2!$P$39*INDEX('z_datos originales'!$C$77:$Q$108,MATCH(limpieza_datos!$C88,'z_datos originales'!$C$77:$C$108,0),MATCH(limpieza_datos!L$77,'z_datos originales'!$C$77:$Q$77,0)),"")</f>
        <v>1200</v>
      </c>
      <c r="M88" s="21">
        <f>IFERROR(solapados_tanda1y2!$P$39*INDEX('z_datos originales'!$C$77:$Q$108,MATCH(limpieza_datos!$C88,'z_datos originales'!$C$77:$C$108,0),MATCH(limpieza_datos!M$77,'z_datos originales'!$C$77:$Q$77,0)),"")</f>
        <v>1384.6153846153848</v>
      </c>
      <c r="N88" s="21">
        <f>IFERROR(solapados_tanda1y2!$P$39*INDEX('z_datos originales'!$C$77:$Q$108,MATCH(limpieza_datos!$C88,'z_datos originales'!$C$77:$C$108,0),MATCH(limpieza_datos!N$77,'z_datos originales'!$C$77:$Q$77,0)),"")</f>
        <v>2584.6153846153848</v>
      </c>
      <c r="O88" s="21">
        <f>IFERROR(solapados_tanda1y2!$P$39*INDEX('z_datos originales'!$C$77:$Q$108,MATCH(limpieza_datos!$C88,'z_datos originales'!$C$77:$C$108,0),MATCH(limpieza_datos!O$77,'z_datos originales'!$C$77:$Q$77,0)),"")</f>
        <v>1384.6153846153848</v>
      </c>
      <c r="P88" s="21">
        <f>IFERROR(solapados_tanda1y2!$P$39*INDEX('z_datos originales'!$C$77:$Q$108,MATCH(limpieza_datos!$C88,'z_datos originales'!$C$77:$C$108,0),MATCH(limpieza_datos!P$77,'z_datos originales'!$C$77:$Q$77,0)),"")</f>
        <v>1384.6153846153848</v>
      </c>
      <c r="Q88" s="21">
        <f>IFERROR(solapados_tanda1y2!$P$39*INDEX('z_datos originales'!$C$77:$Q$108,MATCH(limpieza_datos!$C88,'z_datos originales'!$C$77:$C$108,0),MATCH(limpieza_datos!Q$77,'z_datos originales'!$C$77:$Q$77,0)),"")</f>
        <v>0</v>
      </c>
      <c r="V88" t="s">
        <v>26</v>
      </c>
      <c r="W88" t="s">
        <v>25</v>
      </c>
      <c r="X88">
        <v>2</v>
      </c>
      <c r="Y88" t="s">
        <v>319</v>
      </c>
    </row>
    <row r="89" spans="1:25" x14ac:dyDescent="0.4">
      <c r="A89" s="12">
        <v>46002</v>
      </c>
      <c r="B89" s="17">
        <v>0.77986111111111112</v>
      </c>
      <c r="C89" s="10" t="s">
        <v>351</v>
      </c>
      <c r="D89" s="8" t="s">
        <v>277</v>
      </c>
      <c r="J89" t="s">
        <v>47</v>
      </c>
      <c r="K89" s="21">
        <f>IFERROR(solapados_tanda1y2!$P$39*INDEX('z_datos originales'!$C$77:$Q$108,MATCH(limpieza_datos!$C89,'z_datos originales'!$C$77:$C$108,0),MATCH(limpieza_datos!$K$77,'z_datos originales'!$C$77:$Q$77,0)),"")</f>
        <v>0</v>
      </c>
      <c r="L89" s="21">
        <f>IFERROR(solapados_tanda1y2!$P$39*INDEX('z_datos originales'!$C$77:$Q$108,MATCH(limpieza_datos!$C89,'z_datos originales'!$C$77:$C$108,0),MATCH(limpieza_datos!L$77,'z_datos originales'!$C$77:$Q$77,0)),"")</f>
        <v>0</v>
      </c>
      <c r="M89" s="21">
        <f>IFERROR(solapados_tanda1y2!$P$39*INDEX('z_datos originales'!$C$77:$Q$108,MATCH(limpieza_datos!$C89,'z_datos originales'!$C$77:$C$108,0),MATCH(limpieza_datos!M$77,'z_datos originales'!$C$77:$Q$77,0)),"")</f>
        <v>1476.9230769230769</v>
      </c>
      <c r="N89" s="21">
        <f>IFERROR(solapados_tanda1y2!$P$39*INDEX('z_datos originales'!$C$77:$Q$108,MATCH(limpieza_datos!$C89,'z_datos originales'!$C$77:$C$108,0),MATCH(limpieza_datos!N$77,'z_datos originales'!$C$77:$Q$77,0)),"")</f>
        <v>3692.3076923076924</v>
      </c>
      <c r="O89" s="21">
        <f>IFERROR(solapados_tanda1y2!$P$39*INDEX('z_datos originales'!$C$77:$Q$108,MATCH(limpieza_datos!$C89,'z_datos originales'!$C$77:$C$108,0),MATCH(limpieza_datos!O$77,'z_datos originales'!$C$77:$Q$77,0)),"")</f>
        <v>1384.6153846153848</v>
      </c>
      <c r="P89" s="21">
        <f>IFERROR(solapados_tanda1y2!$P$39*INDEX('z_datos originales'!$C$77:$Q$108,MATCH(limpieza_datos!$C89,'z_datos originales'!$C$77:$C$108,0),MATCH(limpieza_datos!P$77,'z_datos originales'!$C$77:$Q$77,0)),"")</f>
        <v>0</v>
      </c>
      <c r="Q89" s="21">
        <f>IFERROR(solapados_tanda1y2!$P$39*INDEX('z_datos originales'!$C$77:$Q$108,MATCH(limpieza_datos!$C89,'z_datos originales'!$C$77:$C$108,0),MATCH(limpieza_datos!Q$77,'z_datos originales'!$C$77:$Q$77,0)),"")</f>
        <v>0</v>
      </c>
      <c r="V89" t="s">
        <v>26</v>
      </c>
      <c r="W89" t="s">
        <v>25</v>
      </c>
      <c r="X89">
        <v>2</v>
      </c>
      <c r="Y89" t="s">
        <v>321</v>
      </c>
    </row>
    <row r="90" spans="1:25" x14ac:dyDescent="0.4">
      <c r="A90" s="12">
        <v>46002</v>
      </c>
      <c r="B90" s="17">
        <v>0.79027777777777775</v>
      </c>
      <c r="C90" s="10" t="s">
        <v>354</v>
      </c>
      <c r="D90" s="8" t="s">
        <v>283</v>
      </c>
      <c r="J90" t="s">
        <v>20</v>
      </c>
      <c r="K90" s="21">
        <f>IFERROR(solapados_tanda1y2!$P$39*INDEX('z_datos originales'!$C$77:$Q$108,MATCH(limpieza_datos!$C90,'z_datos originales'!$C$77:$C$108,0),MATCH(limpieza_datos!$K$77,'z_datos originales'!$C$77:$Q$77,0)),"")</f>
        <v>1098.4615384615386</v>
      </c>
      <c r="L90" s="21">
        <f>IFERROR(solapados_tanda1y2!$P$39*INDEX('z_datos originales'!$C$77:$Q$108,MATCH(limpieza_datos!$C90,'z_datos originales'!$C$77:$C$108,0),MATCH(limpieza_datos!L$77,'z_datos originales'!$C$77:$Q$77,0)),"")</f>
        <v>900</v>
      </c>
      <c r="M90" s="21">
        <f>IFERROR(solapados_tanda1y2!$P$39*INDEX('z_datos originales'!$C$77:$Q$108,MATCH(limpieza_datos!$C90,'z_datos originales'!$C$77:$C$108,0),MATCH(limpieza_datos!M$77,'z_datos originales'!$C$77:$Q$77,0)),"")</f>
        <v>922.15384615384619</v>
      </c>
      <c r="N90" s="21">
        <f>IFERROR(solapados_tanda1y2!$P$39*INDEX('z_datos originales'!$C$77:$Q$108,MATCH(limpieza_datos!$C90,'z_datos originales'!$C$77:$C$108,0),MATCH(limpieza_datos!N$77,'z_datos originales'!$C$77:$Q$77,0)),"")</f>
        <v>1098.4615384615386</v>
      </c>
      <c r="O90" s="21">
        <f>IFERROR(solapados_tanda1y2!$P$39*INDEX('z_datos originales'!$C$77:$Q$108,MATCH(limpieza_datos!$C90,'z_datos originales'!$C$77:$C$108,0),MATCH(limpieza_datos!O$77,'z_datos originales'!$C$77:$Q$77,0)),"")</f>
        <v>1384.6153846153848</v>
      </c>
      <c r="P90" s="21">
        <f>IFERROR(solapados_tanda1y2!$P$39*INDEX('z_datos originales'!$C$77:$Q$108,MATCH(limpieza_datos!$C90,'z_datos originales'!$C$77:$C$108,0),MATCH(limpieza_datos!P$77,'z_datos originales'!$C$77:$Q$77,0)),"")</f>
        <v>2030.7692307692309</v>
      </c>
      <c r="Q90" s="21">
        <f>IFERROR(solapados_tanda1y2!$P$39*INDEX('z_datos originales'!$C$77:$Q$108,MATCH(limpieza_datos!$C90,'z_datos originales'!$C$77:$C$108,0),MATCH(limpieza_datos!Q$77,'z_datos originales'!$C$77:$Q$77,0)),"")</f>
        <v>12913.846153846154</v>
      </c>
      <c r="V90" t="s">
        <v>25</v>
      </c>
      <c r="W90" t="s">
        <v>25</v>
      </c>
      <c r="X90">
        <v>2</v>
      </c>
      <c r="Y90" t="s">
        <v>324</v>
      </c>
    </row>
    <row r="91" spans="1:25" x14ac:dyDescent="0.4">
      <c r="A91" s="12">
        <v>46002</v>
      </c>
      <c r="B91" s="17">
        <v>0.8</v>
      </c>
      <c r="C91" s="10" t="s">
        <v>355</v>
      </c>
      <c r="D91" s="8" t="s">
        <v>285</v>
      </c>
      <c r="J91" t="s">
        <v>47</v>
      </c>
      <c r="K91" s="21">
        <f>IFERROR(solapados_tanda1y2!$P$39*INDEX('z_datos originales'!$C$77:$Q$108,MATCH(limpieza_datos!$C91,'z_datos originales'!$C$77:$C$108,0),MATCH(limpieza_datos!$K$77,'z_datos originales'!$C$77:$Q$77,0)),"")</f>
        <v>0</v>
      </c>
      <c r="L91" s="21">
        <f>IFERROR(solapados_tanda1y2!$P$39*INDEX('z_datos originales'!$C$77:$Q$108,MATCH(limpieza_datos!$C91,'z_datos originales'!$C$77:$C$108,0),MATCH(limpieza_datos!L$77,'z_datos originales'!$C$77:$Q$77,0)),"")</f>
        <v>830.76923076923083</v>
      </c>
      <c r="M91" s="21">
        <f>IFERROR(solapados_tanda1y2!$P$39*INDEX('z_datos originales'!$C$77:$Q$108,MATCH(limpieza_datos!$C91,'z_datos originales'!$C$77:$C$108,0),MATCH(limpieza_datos!M$77,'z_datos originales'!$C$77:$Q$77,0)),"")</f>
        <v>1661.5384615384617</v>
      </c>
      <c r="N91" s="21">
        <f>IFERROR(solapados_tanda1y2!$P$39*INDEX('z_datos originales'!$C$77:$Q$108,MATCH(limpieza_datos!$C91,'z_datos originales'!$C$77:$C$108,0),MATCH(limpieza_datos!N$77,'z_datos originales'!$C$77:$Q$77,0)),"")</f>
        <v>0</v>
      </c>
      <c r="O91" s="21">
        <f>IFERROR(solapados_tanda1y2!$P$39*INDEX('z_datos originales'!$C$77:$Q$108,MATCH(limpieza_datos!$C91,'z_datos originales'!$C$77:$C$108,0),MATCH(limpieza_datos!O$77,'z_datos originales'!$C$77:$Q$77,0)),"")</f>
        <v>1384.6153846153848</v>
      </c>
      <c r="P91" s="21">
        <f>IFERROR(solapados_tanda1y2!$P$39*INDEX('z_datos originales'!$C$77:$Q$108,MATCH(limpieza_datos!$C91,'z_datos originales'!$C$77:$C$108,0),MATCH(limpieza_datos!P$77,'z_datos originales'!$C$77:$Q$77,0)),"")</f>
        <v>0</v>
      </c>
      <c r="Q91" s="21">
        <f>IFERROR(solapados_tanda1y2!$P$39*INDEX('z_datos originales'!$C$77:$Q$108,MATCH(limpieza_datos!$C91,'z_datos originales'!$C$77:$C$108,0),MATCH(limpieza_datos!Q$77,'z_datos originales'!$C$77:$Q$77,0)),"")</f>
        <v>0</v>
      </c>
      <c r="V91" t="s">
        <v>26</v>
      </c>
      <c r="W91" t="s">
        <v>25</v>
      </c>
      <c r="X91">
        <v>2</v>
      </c>
      <c r="Y91" t="s">
        <v>325</v>
      </c>
    </row>
    <row r="92" spans="1:25" x14ac:dyDescent="0.4">
      <c r="A92" s="12">
        <v>46002</v>
      </c>
      <c r="B92" s="17">
        <v>0.80972222222222223</v>
      </c>
      <c r="C92" s="10" t="s">
        <v>357</v>
      </c>
      <c r="D92" s="8" t="s">
        <v>289</v>
      </c>
      <c r="J92" t="s">
        <v>24</v>
      </c>
      <c r="K92" s="21">
        <f>IFERROR(solapados_tanda1y2!$P$39*INDEX('z_datos originales'!$C$77:$Q$108,MATCH(limpieza_datos!$C92,'z_datos originales'!$C$77:$C$108,0),MATCH(limpieza_datos!$K$77,'z_datos originales'!$C$77:$Q$77,0)),"")</f>
        <v>0</v>
      </c>
      <c r="L92" s="21">
        <f>IFERROR(solapados_tanda1y2!$P$39*INDEX('z_datos originales'!$C$77:$Q$108,MATCH(limpieza_datos!$C92,'z_datos originales'!$C$77:$C$108,0),MATCH(limpieza_datos!L$77,'z_datos originales'!$C$77:$Q$77,0)),"")</f>
        <v>1200</v>
      </c>
      <c r="M92" s="21">
        <f>IFERROR(solapados_tanda1y2!$P$39*INDEX('z_datos originales'!$C$77:$Q$108,MATCH(limpieza_datos!$C92,'z_datos originales'!$C$77:$C$108,0),MATCH(limpieza_datos!M$77,'z_datos originales'!$C$77:$Q$77,0)),"")</f>
        <v>1384.6153846153848</v>
      </c>
      <c r="N92" s="21">
        <f>IFERROR(solapados_tanda1y2!$P$39*INDEX('z_datos originales'!$C$77:$Q$108,MATCH(limpieza_datos!$C92,'z_datos originales'!$C$77:$C$108,0),MATCH(limpieza_datos!N$77,'z_datos originales'!$C$77:$Q$77,0)),"")</f>
        <v>0</v>
      </c>
      <c r="O92" s="21">
        <f>IFERROR(solapados_tanda1y2!$P$39*INDEX('z_datos originales'!$C$77:$Q$108,MATCH(limpieza_datos!$C92,'z_datos originales'!$C$77:$C$108,0),MATCH(limpieza_datos!O$77,'z_datos originales'!$C$77:$Q$77,0)),"")</f>
        <v>0</v>
      </c>
      <c r="P92" s="21">
        <f>IFERROR(solapados_tanda1y2!$P$39*INDEX('z_datos originales'!$C$77:$Q$108,MATCH(limpieza_datos!$C92,'z_datos originales'!$C$77:$C$108,0),MATCH(limpieza_datos!P$77,'z_datos originales'!$C$77:$Q$77,0)),"")</f>
        <v>0</v>
      </c>
      <c r="Q92" s="21">
        <f>IFERROR(solapados_tanda1y2!$P$39*INDEX('z_datos originales'!$C$77:$Q$108,MATCH(limpieza_datos!$C92,'z_datos originales'!$C$77:$C$108,0),MATCH(limpieza_datos!Q$77,'z_datos originales'!$C$77:$Q$77,0)),"")</f>
        <v>0</v>
      </c>
      <c r="V92" t="s">
        <v>26</v>
      </c>
      <c r="W92" t="s">
        <v>25</v>
      </c>
      <c r="X92">
        <v>2</v>
      </c>
      <c r="Y92" t="s">
        <v>327</v>
      </c>
    </row>
    <row r="93" spans="1:25" x14ac:dyDescent="0.4">
      <c r="A93" s="12">
        <v>46002</v>
      </c>
      <c r="B93" s="17">
        <v>0.81666666666666665</v>
      </c>
      <c r="C93" s="10" t="s">
        <v>358</v>
      </c>
      <c r="D93" s="8" t="s">
        <v>290</v>
      </c>
      <c r="J93" t="s">
        <v>24</v>
      </c>
      <c r="K93" s="21">
        <f>IFERROR(solapados_tanda1y2!$P$39*INDEX('z_datos originales'!$C$77:$Q$108,MATCH(limpieza_datos!$C93,'z_datos originales'!$C$77:$C$108,0),MATCH(limpieza_datos!$K$77,'z_datos originales'!$C$77:$Q$77,0)),"")</f>
        <v>1753.846153846154</v>
      </c>
      <c r="L93" s="21">
        <f>IFERROR(solapados_tanda1y2!$P$39*INDEX('z_datos originales'!$C$77:$Q$108,MATCH(limpieza_datos!$C93,'z_datos originales'!$C$77:$C$108,0),MATCH(limpieza_datos!L$77,'z_datos originales'!$C$77:$Q$77,0)),"")</f>
        <v>1200</v>
      </c>
      <c r="M93" s="21">
        <f>IFERROR(solapados_tanda1y2!$P$39*INDEX('z_datos originales'!$C$77:$Q$108,MATCH(limpieza_datos!$C93,'z_datos originales'!$C$77:$C$108,0),MATCH(limpieza_datos!M$77,'z_datos originales'!$C$77:$Q$77,0)),"")</f>
        <v>1107.6923076923078</v>
      </c>
      <c r="N93" s="21">
        <f>IFERROR(solapados_tanda1y2!$P$39*INDEX('z_datos originales'!$C$77:$Q$108,MATCH(limpieza_datos!$C93,'z_datos originales'!$C$77:$C$108,0),MATCH(limpieza_datos!N$77,'z_datos originales'!$C$77:$Q$77,0)),"")</f>
        <v>1292.3076923076924</v>
      </c>
      <c r="O93" s="21">
        <f>IFERROR(solapados_tanda1y2!$P$39*INDEX('z_datos originales'!$C$77:$Q$108,MATCH(limpieza_datos!$C93,'z_datos originales'!$C$77:$C$108,0),MATCH(limpieza_datos!O$77,'z_datos originales'!$C$77:$Q$77,0)),"")</f>
        <v>0</v>
      </c>
      <c r="P93" s="21">
        <f>IFERROR(solapados_tanda1y2!$P$39*INDEX('z_datos originales'!$C$77:$Q$108,MATCH(limpieza_datos!$C93,'z_datos originales'!$C$77:$C$108,0),MATCH(limpieza_datos!P$77,'z_datos originales'!$C$77:$Q$77,0)),"")</f>
        <v>1366.1538461538462</v>
      </c>
      <c r="Q93" s="21">
        <f>IFERROR(solapados_tanda1y2!$P$39*INDEX('z_datos originales'!$C$77:$Q$108,MATCH(limpieza_datos!$C93,'z_datos originales'!$C$77:$C$108,0),MATCH(limpieza_datos!Q$77,'z_datos originales'!$C$77:$Q$77,0)),"")</f>
        <v>0</v>
      </c>
      <c r="V93" t="s">
        <v>26</v>
      </c>
      <c r="W93" t="s">
        <v>25</v>
      </c>
      <c r="X93">
        <v>2</v>
      </c>
      <c r="Y93" t="s">
        <v>327</v>
      </c>
    </row>
    <row r="94" spans="1:25" x14ac:dyDescent="0.4">
      <c r="A94" s="12">
        <v>46002</v>
      </c>
      <c r="B94" s="17">
        <v>0.82222222222222219</v>
      </c>
      <c r="C94" s="10" t="s">
        <v>359</v>
      </c>
      <c r="D94" s="8" t="s">
        <v>292</v>
      </c>
      <c r="J94" t="s">
        <v>21</v>
      </c>
      <c r="K94" s="21">
        <f>IFERROR(solapados_tanda1y2!$P$39*INDEX('z_datos originales'!$C$77:$Q$108,MATCH(limpieza_datos!$C94,'z_datos originales'!$C$77:$C$108,0),MATCH(limpieza_datos!$K$77,'z_datos originales'!$C$77:$Q$77,0)),"")</f>
        <v>0</v>
      </c>
      <c r="L94" s="21">
        <f>IFERROR(solapados_tanda1y2!$P$39*INDEX('z_datos originales'!$C$77:$Q$108,MATCH(limpieza_datos!$C94,'z_datos originales'!$C$77:$C$108,0),MATCH(limpieza_datos!L$77,'z_datos originales'!$C$77:$Q$77,0)),"")</f>
        <v>0</v>
      </c>
      <c r="M94" s="21">
        <f>IFERROR(solapados_tanda1y2!$P$39*INDEX('z_datos originales'!$C$77:$Q$108,MATCH(limpieza_datos!$C94,'z_datos originales'!$C$77:$C$108,0),MATCH(limpieza_datos!M$77,'z_datos originales'!$C$77:$Q$77,0)),"")</f>
        <v>0</v>
      </c>
      <c r="N94" s="21">
        <f>IFERROR(solapados_tanda1y2!$P$39*INDEX('z_datos originales'!$C$77:$Q$108,MATCH(limpieza_datos!$C94,'z_datos originales'!$C$77:$C$108,0),MATCH(limpieza_datos!N$77,'z_datos originales'!$C$77:$Q$77,0)),"")</f>
        <v>0</v>
      </c>
      <c r="O94" s="21">
        <f>IFERROR(solapados_tanda1y2!$P$39*INDEX('z_datos originales'!$C$77:$Q$108,MATCH(limpieza_datos!$C94,'z_datos originales'!$C$77:$C$108,0),MATCH(limpieza_datos!O$77,'z_datos originales'!$C$77:$Q$77,0)),"")</f>
        <v>0</v>
      </c>
      <c r="P94" s="21">
        <f>IFERROR(solapados_tanda1y2!$P$39*INDEX('z_datos originales'!$C$77:$Q$108,MATCH(limpieza_datos!$C94,'z_datos originales'!$C$77:$C$108,0),MATCH(limpieza_datos!P$77,'z_datos originales'!$C$77:$Q$77,0)),"")</f>
        <v>0</v>
      </c>
      <c r="Q94" s="21">
        <f>IFERROR(solapados_tanda1y2!$P$39*INDEX('z_datos originales'!$C$77:$Q$108,MATCH(limpieza_datos!$C94,'z_datos originales'!$C$77:$C$108,0),MATCH(limpieza_datos!Q$77,'z_datos originales'!$C$77:$Q$77,0)),"")</f>
        <v>12830.769230769232</v>
      </c>
      <c r="V94" t="s">
        <v>25</v>
      </c>
      <c r="W94" t="s">
        <v>25</v>
      </c>
      <c r="X94">
        <v>2</v>
      </c>
      <c r="Y94" t="s">
        <v>328</v>
      </c>
    </row>
    <row r="95" spans="1:25" x14ac:dyDescent="0.4">
      <c r="A95" s="12">
        <v>46002</v>
      </c>
      <c r="B95" s="17">
        <v>0.82708333333333328</v>
      </c>
      <c r="C95" s="10" t="s">
        <v>360</v>
      </c>
      <c r="D95" s="8" t="s">
        <v>294</v>
      </c>
      <c r="J95" t="s">
        <v>24</v>
      </c>
      <c r="K95" s="21">
        <f>IFERROR(solapados_tanda1y2!$P$39*INDEX('z_datos originales'!$C$77:$Q$108,MATCH(limpieza_datos!$C95,'z_datos originales'!$C$77:$C$108,0),MATCH(limpieza_datos!$K$77,'z_datos originales'!$C$77:$Q$77,0)),"")</f>
        <v>1476.9230769230769</v>
      </c>
      <c r="L95" s="21">
        <f>IFERROR(solapados_tanda1y2!$P$39*INDEX('z_datos originales'!$C$77:$Q$108,MATCH(limpieza_datos!$C95,'z_datos originales'!$C$77:$C$108,0),MATCH(limpieza_datos!L$77,'z_datos originales'!$C$77:$Q$77,0)),"")</f>
        <v>1292.3076923076924</v>
      </c>
      <c r="M95" s="21">
        <f>IFERROR(solapados_tanda1y2!$P$39*INDEX('z_datos originales'!$C$77:$Q$108,MATCH(limpieza_datos!$C95,'z_datos originales'!$C$77:$C$108,0),MATCH(limpieza_datos!M$77,'z_datos originales'!$C$77:$Q$77,0)),"")</f>
        <v>1476.9230769230769</v>
      </c>
      <c r="N95" s="21">
        <f>IFERROR(solapados_tanda1y2!$P$39*INDEX('z_datos originales'!$C$77:$Q$108,MATCH(limpieza_datos!$C95,'z_datos originales'!$C$77:$C$108,0),MATCH(limpieza_datos!N$77,'z_datos originales'!$C$77:$Q$77,0)),"")</f>
        <v>2123.0769230769233</v>
      </c>
      <c r="O95" s="21">
        <f>IFERROR(solapados_tanda1y2!$P$39*INDEX('z_datos originales'!$C$77:$Q$108,MATCH(limpieza_datos!$C95,'z_datos originales'!$C$77:$C$108,0),MATCH(limpieza_datos!O$77,'z_datos originales'!$C$77:$Q$77,0)),"")</f>
        <v>923.07692307692309</v>
      </c>
      <c r="P95" s="21">
        <f>IFERROR(solapados_tanda1y2!$P$39*INDEX('z_datos originales'!$C$77:$Q$108,MATCH(limpieza_datos!$C95,'z_datos originales'!$C$77:$C$108,0),MATCH(limpieza_datos!P$77,'z_datos originales'!$C$77:$Q$77,0)),"")</f>
        <v>1476.9230769230769</v>
      </c>
      <c r="Q95" s="21">
        <f>IFERROR(solapados_tanda1y2!$P$39*INDEX('z_datos originales'!$C$77:$Q$108,MATCH(limpieza_datos!$C95,'z_datos originales'!$C$77:$C$108,0),MATCH(limpieza_datos!Q$77,'z_datos originales'!$C$77:$Q$77,0)),"")</f>
        <v>0</v>
      </c>
      <c r="V95" t="s">
        <v>26</v>
      </c>
      <c r="W95" t="s">
        <v>25</v>
      </c>
      <c r="X95">
        <v>2</v>
      </c>
      <c r="Y95" t="s">
        <v>329</v>
      </c>
    </row>
    <row r="96" spans="1:25" x14ac:dyDescent="0.4">
      <c r="A96" s="12">
        <v>46002</v>
      </c>
      <c r="B96" s="17">
        <v>0.83819444444444446</v>
      </c>
      <c r="C96" s="10" t="s">
        <v>361</v>
      </c>
      <c r="D96" s="8" t="s">
        <v>296</v>
      </c>
      <c r="J96" t="s">
        <v>35</v>
      </c>
      <c r="K96" s="21">
        <f>IFERROR(solapados_tanda1y2!$P$39*INDEX('z_datos originales'!$C$77:$Q$108,MATCH(limpieza_datos!$C96,'z_datos originales'!$C$77:$C$108,0),MATCH(limpieza_datos!$K$77,'z_datos originales'!$C$77:$Q$77,0)),"")</f>
        <v>0</v>
      </c>
      <c r="L96" s="21">
        <f>IFERROR(solapados_tanda1y2!$P$39*INDEX('z_datos originales'!$C$77:$Q$108,MATCH(limpieza_datos!$C96,'z_datos originales'!$C$77:$C$108,0),MATCH(limpieza_datos!L$77,'z_datos originales'!$C$77:$Q$77,0)),"")</f>
        <v>2769.2307692307695</v>
      </c>
      <c r="M96" s="21">
        <f>IFERROR(solapados_tanda1y2!$P$39*INDEX('z_datos originales'!$C$77:$Q$108,MATCH(limpieza_datos!$C96,'z_datos originales'!$C$77:$C$108,0),MATCH(limpieza_datos!M$77,'z_datos originales'!$C$77:$Q$77,0)),"")</f>
        <v>0</v>
      </c>
      <c r="N96" s="21">
        <f>IFERROR(solapados_tanda1y2!$P$39*INDEX('z_datos originales'!$C$77:$Q$108,MATCH(limpieza_datos!$C96,'z_datos originales'!$C$77:$C$108,0),MATCH(limpieza_datos!N$77,'z_datos originales'!$C$77:$Q$77,0)),"")</f>
        <v>0</v>
      </c>
      <c r="O96" s="21">
        <f>IFERROR(solapados_tanda1y2!$P$39*INDEX('z_datos originales'!$C$77:$Q$108,MATCH(limpieza_datos!$C96,'z_datos originales'!$C$77:$C$108,0),MATCH(limpieza_datos!O$77,'z_datos originales'!$C$77:$Q$77,0)),"")</f>
        <v>1384.6153846153848</v>
      </c>
      <c r="P96" s="21">
        <f>IFERROR(solapados_tanda1y2!$P$39*INDEX('z_datos originales'!$C$77:$Q$108,MATCH(limpieza_datos!$C96,'z_datos originales'!$C$77:$C$108,0),MATCH(limpieza_datos!P$77,'z_datos originales'!$C$77:$Q$77,0)),"")</f>
        <v>0</v>
      </c>
      <c r="Q96" s="21">
        <f>IFERROR(solapados_tanda1y2!$P$39*INDEX('z_datos originales'!$C$77:$Q$108,MATCH(limpieza_datos!$C96,'z_datos originales'!$C$77:$C$108,0),MATCH(limpieza_datos!Q$77,'z_datos originales'!$C$77:$Q$77,0)),"")</f>
        <v>0</v>
      </c>
      <c r="V96" t="s">
        <v>26</v>
      </c>
      <c r="W96" t="s">
        <v>25</v>
      </c>
      <c r="X96">
        <v>2</v>
      </c>
      <c r="Y96" t="s">
        <v>330</v>
      </c>
    </row>
    <row r="97" spans="1:25" x14ac:dyDescent="0.4">
      <c r="A97" s="12">
        <v>46002</v>
      </c>
      <c r="B97" s="17">
        <v>0.84027777777777779</v>
      </c>
      <c r="C97" s="10" t="s">
        <v>362</v>
      </c>
      <c r="D97" s="8" t="s">
        <v>298</v>
      </c>
      <c r="J97" t="s">
        <v>47</v>
      </c>
      <c r="K97" s="21">
        <f>IFERROR(solapados_tanda1y2!$P$39*INDEX('z_datos originales'!$C$77:$Q$108,MATCH(limpieza_datos!$C97,'z_datos originales'!$C$77:$C$108,0),MATCH(limpieza_datos!$K$77,'z_datos originales'!$C$77:$Q$77,0)),"")</f>
        <v>2030.7692307692309</v>
      </c>
      <c r="L97" s="21">
        <f>IFERROR(solapados_tanda1y2!$P$39*INDEX('z_datos originales'!$C$77:$Q$108,MATCH(limpieza_datos!$C97,'z_datos originales'!$C$77:$C$108,0),MATCH(limpieza_datos!L$77,'z_datos originales'!$C$77:$Q$77,0)),"")</f>
        <v>2307.6923076923076</v>
      </c>
      <c r="M97" s="21">
        <f>IFERROR(solapados_tanda1y2!$P$39*INDEX('z_datos originales'!$C$77:$Q$108,MATCH(limpieza_datos!$C97,'z_datos originales'!$C$77:$C$108,0),MATCH(limpieza_datos!M$77,'z_datos originales'!$C$77:$Q$77,0)),"")</f>
        <v>2307.6923076923076</v>
      </c>
      <c r="N97" s="21">
        <f>IFERROR(solapados_tanda1y2!$P$39*INDEX('z_datos originales'!$C$77:$Q$108,MATCH(limpieza_datos!$C97,'z_datos originales'!$C$77:$C$108,0),MATCH(limpieza_datos!N$77,'z_datos originales'!$C$77:$Q$77,0)),"")</f>
        <v>2769.2307692307695</v>
      </c>
      <c r="O97" s="21">
        <f>IFERROR(solapados_tanda1y2!$P$39*INDEX('z_datos originales'!$C$77:$Q$108,MATCH(limpieza_datos!$C97,'z_datos originales'!$C$77:$C$108,0),MATCH(limpieza_datos!O$77,'z_datos originales'!$C$77:$Q$77,0)),"")</f>
        <v>1384.6153846153848</v>
      </c>
      <c r="P97" s="21">
        <f>IFERROR(solapados_tanda1y2!$P$39*INDEX('z_datos originales'!$C$77:$Q$108,MATCH(limpieza_datos!$C97,'z_datos originales'!$C$77:$C$108,0),MATCH(limpieza_datos!P$77,'z_datos originales'!$C$77:$Q$77,0)),"")</f>
        <v>0</v>
      </c>
      <c r="Q97" s="21">
        <f>IFERROR(solapados_tanda1y2!$P$39*INDEX('z_datos originales'!$C$77:$Q$108,MATCH(limpieza_datos!$C97,'z_datos originales'!$C$77:$C$108,0),MATCH(limpieza_datos!Q$77,'z_datos originales'!$C$77:$Q$77,0)),"")</f>
        <v>0</v>
      </c>
      <c r="V97" t="s">
        <v>26</v>
      </c>
      <c r="W97" t="s">
        <v>25</v>
      </c>
      <c r="X97">
        <v>2</v>
      </c>
      <c r="Y97" t="s">
        <v>331</v>
      </c>
    </row>
    <row r="98" spans="1:25" x14ac:dyDescent="0.4">
      <c r="A98" s="12">
        <v>46002</v>
      </c>
      <c r="B98" s="17">
        <v>0.85069444444444442</v>
      </c>
      <c r="C98" s="10" t="s">
        <v>364</v>
      </c>
      <c r="D98" s="8" t="s">
        <v>302</v>
      </c>
      <c r="J98" t="s">
        <v>37</v>
      </c>
      <c r="K98" s="21">
        <f>IFERROR(solapados_tanda1y2!$P$39*INDEX('z_datos originales'!$C$77:$Q$108,MATCH(limpieza_datos!$C98,'z_datos originales'!$C$77:$C$108,0),MATCH(limpieza_datos!$K$77,'z_datos originales'!$C$77:$Q$77,0)),"")</f>
        <v>1190.7692307692309</v>
      </c>
      <c r="L98" s="21">
        <f>IFERROR(solapados_tanda1y2!$P$39*INDEX('z_datos originales'!$C$77:$Q$108,MATCH(limpieza_datos!$C98,'z_datos originales'!$C$77:$C$108,0),MATCH(limpieza_datos!L$77,'z_datos originales'!$C$77:$Q$77,0)),"")</f>
        <v>872.30769230769238</v>
      </c>
      <c r="M98" s="21">
        <f>IFERROR(solapados_tanda1y2!$P$39*INDEX('z_datos originales'!$C$77:$Q$108,MATCH(limpieza_datos!$C98,'z_datos originales'!$C$77:$C$108,0),MATCH(limpieza_datos!M$77,'z_datos originales'!$C$77:$Q$77,0)),"")</f>
        <v>1006.1538461538462</v>
      </c>
      <c r="N98" s="21">
        <f>IFERROR(solapados_tanda1y2!$P$39*INDEX('z_datos originales'!$C$77:$Q$108,MATCH(limpieza_datos!$C98,'z_datos originales'!$C$77:$C$108,0),MATCH(limpieza_datos!N$77,'z_datos originales'!$C$77:$Q$77,0)),"")</f>
        <v>1130.7692307692309</v>
      </c>
      <c r="O98" s="21">
        <f>IFERROR(solapados_tanda1y2!$P$39*INDEX('z_datos originales'!$C$77:$Q$108,MATCH(limpieza_datos!$C98,'z_datos originales'!$C$77:$C$108,0),MATCH(limpieza_datos!O$77,'z_datos originales'!$C$77:$Q$77,0)),"")</f>
        <v>821.53846153846155</v>
      </c>
      <c r="P98" s="21">
        <f>IFERROR(solapados_tanda1y2!$P$39*INDEX('z_datos originales'!$C$77:$Q$108,MATCH(limpieza_datos!$C98,'z_datos originales'!$C$77:$C$108,0),MATCH(limpieza_datos!P$77,'z_datos originales'!$C$77:$Q$77,0)),"")</f>
        <v>1797.6923076923078</v>
      </c>
      <c r="Q98" s="21">
        <f>IFERROR(solapados_tanda1y2!$P$39*INDEX('z_datos originales'!$C$77:$Q$108,MATCH(limpieza_datos!$C98,'z_datos originales'!$C$77:$C$108,0),MATCH(limpieza_datos!Q$77,'z_datos originales'!$C$77:$Q$77,0)),"")</f>
        <v>14400</v>
      </c>
      <c r="V98" t="s">
        <v>25</v>
      </c>
      <c r="W98" t="s">
        <v>25</v>
      </c>
      <c r="X98">
        <v>2</v>
      </c>
      <c r="Y98" t="s">
        <v>333</v>
      </c>
    </row>
    <row r="99" spans="1:25" x14ac:dyDescent="0.4">
      <c r="A99" s="12">
        <v>46002</v>
      </c>
      <c r="B99" s="17">
        <v>0.85347222222222219</v>
      </c>
      <c r="C99" s="10" t="s">
        <v>365</v>
      </c>
      <c r="D99" s="8" t="s">
        <v>304</v>
      </c>
      <c r="J99" t="s">
        <v>35</v>
      </c>
      <c r="K99" s="21">
        <f>IFERROR(solapados_tanda1y2!$P$39*INDEX('z_datos originales'!$C$77:$Q$108,MATCH(limpieza_datos!$C99,'z_datos originales'!$C$77:$C$108,0),MATCH(limpieza_datos!$K$77,'z_datos originales'!$C$77:$Q$77,0)),"")</f>
        <v>0</v>
      </c>
      <c r="L99" s="21">
        <f>IFERROR(solapados_tanda1y2!$P$39*INDEX('z_datos originales'!$C$77:$Q$108,MATCH(limpieza_datos!$C99,'z_datos originales'!$C$77:$C$108,0),MATCH(limpieza_datos!L$77,'z_datos originales'!$C$77:$Q$77,0)),"")</f>
        <v>0</v>
      </c>
      <c r="M99" s="21">
        <f>IFERROR(solapados_tanda1y2!$P$39*INDEX('z_datos originales'!$C$77:$Q$108,MATCH(limpieza_datos!$C99,'z_datos originales'!$C$77:$C$108,0),MATCH(limpieza_datos!M$77,'z_datos originales'!$C$77:$Q$77,0)),"")</f>
        <v>0</v>
      </c>
      <c r="N99" s="21">
        <f>IFERROR(solapados_tanda1y2!$P$39*INDEX('z_datos originales'!$C$77:$Q$108,MATCH(limpieza_datos!$C99,'z_datos originales'!$C$77:$C$108,0),MATCH(limpieza_datos!N$77,'z_datos originales'!$C$77:$Q$77,0)),"")</f>
        <v>0</v>
      </c>
      <c r="O99" s="21">
        <f>IFERROR(solapados_tanda1y2!$P$39*INDEX('z_datos originales'!$C$77:$Q$108,MATCH(limpieza_datos!$C99,'z_datos originales'!$C$77:$C$108,0),MATCH(limpieza_datos!O$77,'z_datos originales'!$C$77:$Q$77,0)),"")</f>
        <v>1846.1538461538462</v>
      </c>
      <c r="P99" s="21">
        <f>IFERROR(solapados_tanda1y2!$P$39*INDEX('z_datos originales'!$C$77:$Q$108,MATCH(limpieza_datos!$C99,'z_datos originales'!$C$77:$C$108,0),MATCH(limpieza_datos!P$77,'z_datos originales'!$C$77:$Q$77,0)),"")</f>
        <v>0</v>
      </c>
      <c r="Q99" s="21">
        <f>IFERROR(solapados_tanda1y2!$P$39*INDEX('z_datos originales'!$C$77:$Q$108,MATCH(limpieza_datos!$C99,'z_datos originales'!$C$77:$C$108,0),MATCH(limpieza_datos!Q$77,'z_datos originales'!$C$77:$Q$77,0)),"")</f>
        <v>0</v>
      </c>
      <c r="V99" t="s">
        <v>26</v>
      </c>
      <c r="W99" t="s">
        <v>25</v>
      </c>
      <c r="X99">
        <v>2</v>
      </c>
      <c r="Y99" t="s">
        <v>334</v>
      </c>
    </row>
    <row r="100" spans="1:25" s="15" customFormat="1" x14ac:dyDescent="0.4">
      <c r="A100" s="14"/>
      <c r="D100" s="16"/>
    </row>
    <row r="101" spans="1:25" x14ac:dyDescent="0.4">
      <c r="X101">
        <v>3</v>
      </c>
    </row>
    <row r="102" spans="1:25" x14ac:dyDescent="0.4">
      <c r="X102">
        <v>3</v>
      </c>
    </row>
    <row r="103" spans="1:25" x14ac:dyDescent="0.4">
      <c r="X103">
        <v>3</v>
      </c>
    </row>
    <row r="104" spans="1:25" x14ac:dyDescent="0.4">
      <c r="X104">
        <v>3</v>
      </c>
    </row>
    <row r="105" spans="1:25" x14ac:dyDescent="0.4">
      <c r="X105">
        <v>3</v>
      </c>
    </row>
    <row r="106" spans="1:25" x14ac:dyDescent="0.4">
      <c r="X106">
        <v>3</v>
      </c>
    </row>
    <row r="107" spans="1:25" x14ac:dyDescent="0.4">
      <c r="X107">
        <v>3</v>
      </c>
    </row>
    <row r="108" spans="1:25" x14ac:dyDescent="0.4">
      <c r="X108">
        <v>3</v>
      </c>
    </row>
    <row r="109" spans="1:25" x14ac:dyDescent="0.4">
      <c r="X109">
        <v>3</v>
      </c>
    </row>
    <row r="110" spans="1:25" x14ac:dyDescent="0.4">
      <c r="X110">
        <v>3</v>
      </c>
    </row>
  </sheetData>
  <phoneticPr fontId="6" type="noConversion"/>
  <hyperlinks>
    <hyperlink ref="D2" r:id="rId1" xr:uid="{34B84A85-1465-430F-90A5-A47A29C29EB4}"/>
    <hyperlink ref="D3" r:id="rId2" xr:uid="{103FD3A6-F796-4D92-9D8C-0D1A58D01850}"/>
    <hyperlink ref="D4" r:id="rId3" xr:uid="{DF9AD4C9-8EEA-45E8-BF16-FB04F51F7AC3}"/>
    <hyperlink ref="D6" r:id="rId4" xr:uid="{5E4A1A3E-B6A0-4593-8CE8-BDE881F10AAF}"/>
    <hyperlink ref="D7" r:id="rId5" xr:uid="{24F372FA-4D93-45DC-9163-5256AF75F173}"/>
    <hyperlink ref="D8" r:id="rId6" xr:uid="{3B211E9B-CC9E-4B37-85D3-2B14364C0B33}"/>
    <hyperlink ref="D9" r:id="rId7" xr:uid="{0D85C7E5-FAAF-4B1C-AB7C-24374166AE8D}"/>
    <hyperlink ref="D10" r:id="rId8" xr:uid="{22B09F3D-D035-41D1-840F-6F57ADA7A1B3}"/>
    <hyperlink ref="D11" r:id="rId9" xr:uid="{BBA507A8-E763-4809-9E49-3723D71F5EC7}"/>
    <hyperlink ref="D12" r:id="rId10" xr:uid="{E8A1EC9E-B5B4-4FE3-9D99-DB6BADF641C5}"/>
    <hyperlink ref="D14" r:id="rId11" xr:uid="{F453FF3C-B34E-41FD-A65F-33F58391904A}"/>
    <hyperlink ref="D15" r:id="rId12" xr:uid="{420782D8-FE47-4264-8D56-97F5895E2ED5}"/>
    <hyperlink ref="D16" r:id="rId13" xr:uid="{9B3F01EC-02F2-4876-8D64-3BBC145AC523}"/>
    <hyperlink ref="D17" r:id="rId14" xr:uid="{B02084DC-1454-46DC-959E-5FEF50FEB772}"/>
    <hyperlink ref="D18" r:id="rId15" xr:uid="{8182AD81-B104-4CB8-8272-63287EB9C2F4}"/>
    <hyperlink ref="D19" r:id="rId16" xr:uid="{91840029-A2D8-4EFB-A58D-E6165DE3F501}"/>
    <hyperlink ref="D20" r:id="rId17" xr:uid="{C1BEECED-4448-43A4-A10F-88DBAC99BF15}"/>
    <hyperlink ref="D21" r:id="rId18" xr:uid="{DBDA89C5-DC3A-4374-8917-72BBA9ECB1E3}"/>
    <hyperlink ref="D22" r:id="rId19" xr:uid="{1D364EF1-FA01-4ADA-B445-2DD1FDFD9E63}"/>
    <hyperlink ref="D23" r:id="rId20" xr:uid="{65A301B4-C3CE-4E95-BD61-E159FD1E2090}"/>
    <hyperlink ref="D24" r:id="rId21" xr:uid="{2B251CE2-D744-48B7-BE95-99866FA30C10}"/>
    <hyperlink ref="D25" r:id="rId22" xr:uid="{042AAF7A-4190-4A14-AA61-D0B75DEDF6BB}"/>
    <hyperlink ref="D26" r:id="rId23" xr:uid="{6B515C46-7D3F-4851-B3F2-E6F222A21410}"/>
    <hyperlink ref="D27" r:id="rId24" xr:uid="{2AB2CBC6-8BF2-4E9E-962D-CFB7A8A25E8F}"/>
    <hyperlink ref="D28" r:id="rId25" xr:uid="{7C583A4D-81CE-49A2-916C-235D3DCAB232}"/>
    <hyperlink ref="D29" r:id="rId26" xr:uid="{986BE7FB-19E4-447A-B394-C9796DACF9B6}"/>
    <hyperlink ref="D30" r:id="rId27" xr:uid="{F78689A6-6C5C-4431-9FB9-39B90E431B3F}"/>
    <hyperlink ref="D31" r:id="rId28" xr:uid="{A0271A6D-5583-4AF6-B487-D635FC3E1F97}"/>
    <hyperlink ref="D32" r:id="rId29" xr:uid="{41346792-5663-4496-8547-DD8EC11EB215}"/>
    <hyperlink ref="D34" r:id="rId30" xr:uid="{5D205A99-6EA5-4CF8-9E93-0C4CF553647E}"/>
    <hyperlink ref="D37" r:id="rId31" xr:uid="{7866AA3F-31AF-4BA5-AB84-41E18A8D114E}"/>
    <hyperlink ref="D41" r:id="rId32" xr:uid="{88D7D4E4-50C4-459F-9B72-D938C4767C26}"/>
    <hyperlink ref="D42" r:id="rId33" xr:uid="{C14E2003-A135-4FA6-B891-F05F48DFFF8A}"/>
    <hyperlink ref="D43" r:id="rId34" xr:uid="{9D396F29-5908-467F-9E52-D4F86AFD21E3}"/>
    <hyperlink ref="D46" r:id="rId35" xr:uid="{B525F21D-40F8-4F31-B161-6DD018CCD835}"/>
    <hyperlink ref="D48" r:id="rId36" display="https://www.google.com/maps?q=-34.5927619934082,-58.383609771728516&amp;z=17&amp;hl=es" xr:uid="{64267FC1-FADB-432A-8F4B-7304A6C465D7}"/>
    <hyperlink ref="D49" r:id="rId37" xr:uid="{DBB53584-B217-4C2F-ABE9-A5BFCC0BFC76}"/>
    <hyperlink ref="D50" r:id="rId38" xr:uid="{F50ADD64-0003-4284-87EA-ABB204AE1946}"/>
    <hyperlink ref="D51" r:id="rId39" display="https://www.google.com/maps?q=-34.592735290527344,-58.37911605834961&amp;z=17&amp;hl=es" xr:uid="{42E1DB89-0ED2-4068-9D65-27503BF72FCC}"/>
    <hyperlink ref="D52" r:id="rId40" xr:uid="{29C7FC7C-2257-474A-9510-324A47A6B130}"/>
    <hyperlink ref="D53" r:id="rId41" xr:uid="{E9AE8AB7-0F01-4901-ACDD-A76C3912AD5A}"/>
    <hyperlink ref="D54" r:id="rId42" xr:uid="{AF6EA4C3-5E6C-4C1D-A071-8F6D7A933FCE}"/>
    <hyperlink ref="D56" r:id="rId43" xr:uid="{25D6C098-564B-44AA-B2E3-26C00B7DA62D}"/>
    <hyperlink ref="D57" r:id="rId44" xr:uid="{3E0AF767-C186-4BB3-9A28-073A3B800775}"/>
    <hyperlink ref="D58" r:id="rId45" xr:uid="{47909278-84ED-4613-9BE5-C090247B7063}"/>
    <hyperlink ref="D59" r:id="rId46" xr:uid="{5D8D4885-C525-46A6-8E7E-CA11D107138D}"/>
    <hyperlink ref="D60" r:id="rId47" xr:uid="{5A6560D7-5958-42EE-AEC4-ED4DC6ADC562}"/>
    <hyperlink ref="D61" r:id="rId48" xr:uid="{D3ED8DA2-C243-433F-B9B6-D7F4275F1E33}"/>
    <hyperlink ref="D62" r:id="rId49" xr:uid="{ADAB1EAC-65A2-4AE2-A011-A143950D04FF}"/>
    <hyperlink ref="D63" r:id="rId50" xr:uid="{52F55D7F-C2F0-432D-BF5D-D7F549EE1CD0}"/>
    <hyperlink ref="D64" r:id="rId51" xr:uid="{96FAAE5D-6BBE-4AAF-BA5C-8476067A3F93}"/>
    <hyperlink ref="D65" r:id="rId52" xr:uid="{BCB1AD3D-0D75-4980-9BE0-4A0A0341E34C}"/>
    <hyperlink ref="D66" r:id="rId53" xr:uid="{5551AF57-0759-4E03-BA87-6FF5D3690D0D}"/>
    <hyperlink ref="D67" r:id="rId54" xr:uid="{3FA3692B-56EB-4CDC-AF70-CD1AF06E06A3}"/>
    <hyperlink ref="D68" r:id="rId55" xr:uid="{18650105-8E57-4DAA-8AF4-31637D293D9E}"/>
    <hyperlink ref="D69" r:id="rId56" xr:uid="{ACBF9558-B4AC-484A-92EC-7F37E0BB67BD}"/>
    <hyperlink ref="D70" r:id="rId57" xr:uid="{F11D9F59-FF18-4CB3-907D-5AE50C96FDB2}"/>
    <hyperlink ref="D71" r:id="rId58" xr:uid="{623C8ADB-610E-4CC7-AC21-08E01F32D5DA}"/>
    <hyperlink ref="D72" r:id="rId59" xr:uid="{562DCECD-F65C-46C7-9C3E-6347ED3DAD54}"/>
    <hyperlink ref="D73" r:id="rId60" xr:uid="{162B6B80-7EA1-461E-8AE2-AC2D9B72A538}"/>
    <hyperlink ref="D74" r:id="rId61" xr:uid="{96DA9B5C-70F0-4601-8498-12A5457974EB}"/>
    <hyperlink ref="D76" r:id="rId62" xr:uid="{8BC60AB8-DAE9-48F1-975D-25D67D3F6F09}"/>
    <hyperlink ref="D5" r:id="rId63" xr:uid="{B9BACED9-EFBF-4FE6-BD19-5722EA743AFB}"/>
    <hyperlink ref="D38" r:id="rId64" xr:uid="{2E6ADDF1-24D1-45A1-BD96-446368A45399}"/>
    <hyperlink ref="D39" r:id="rId65" xr:uid="{C4123B4B-D9DE-4904-AD82-D1F1CCC6D130}"/>
    <hyperlink ref="D40" r:id="rId66" xr:uid="{EE523BE3-CCDC-47AE-AD66-151B8BB557ED}"/>
  </hyperlinks>
  <pageMargins left="0.7" right="0.7" top="0.75" bottom="0.75" header="0.3" footer="0.3"/>
  <pageSetup orientation="portrait" r:id="rId67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75701A-79FF-4AB6-8989-70D6FC527FEA}">
          <x14:formula1>
            <xm:f>Hoja2!$A$1:$A$13</xm:f>
          </x14:formula1>
          <xm:sqref>J2:J1048576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32208-31E7-4CC2-B41C-9141F6FABB69}">
  <dimension ref="A1:AB119"/>
  <sheetViews>
    <sheetView topLeftCell="C2" workbookViewId="0">
      <selection activeCell="Y13" sqref="Y13"/>
    </sheetView>
  </sheetViews>
  <sheetFormatPr baseColWidth="10" defaultColWidth="0" defaultRowHeight="14.6" x14ac:dyDescent="0.4"/>
  <cols>
    <col min="1" max="1" width="12" style="12" bestFit="1" customWidth="1"/>
    <col min="2" max="2" width="11.3828125" customWidth="1"/>
    <col min="3" max="3" width="8.53515625" bestFit="1" customWidth="1"/>
    <col min="4" max="4" width="10.53515625" style="8" customWidth="1"/>
    <col min="5" max="9" width="1.69140625" customWidth="1"/>
    <col min="10" max="10" width="11.3046875" customWidth="1"/>
    <col min="11" max="16" width="11.07421875" customWidth="1"/>
    <col min="17" max="17" width="9.53515625" customWidth="1"/>
    <col min="18" max="21" width="1.4609375" customWidth="1"/>
    <col min="22" max="22" width="5" bestFit="1" customWidth="1"/>
    <col min="23" max="23" width="6.07421875" bestFit="1" customWidth="1"/>
    <col min="24" max="24" width="6.07421875" customWidth="1"/>
    <col min="25" max="25" width="44.23046875" bestFit="1" customWidth="1"/>
    <col min="26" max="26" width="11.07421875" customWidth="1"/>
    <col min="27" max="28" width="0" hidden="1" customWidth="1"/>
    <col min="29" max="16384" width="11.07421875" hidden="1"/>
  </cols>
  <sheetData>
    <row r="1" spans="1:26" s="4" customFormat="1" ht="40.5" customHeight="1" x14ac:dyDescent="0.4">
      <c r="A1" s="13" t="s">
        <v>99</v>
      </c>
      <c r="B1" s="11" t="s">
        <v>53</v>
      </c>
      <c r="C1" s="11" t="s">
        <v>241</v>
      </c>
      <c r="D1" s="6" t="s">
        <v>18</v>
      </c>
      <c r="E1" s="1" t="s">
        <v>242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244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245</v>
      </c>
      <c r="W1" s="3" t="s">
        <v>15</v>
      </c>
      <c r="X1" s="3" t="s">
        <v>260</v>
      </c>
      <c r="Y1" s="3" t="s">
        <v>238</v>
      </c>
      <c r="Z1" s="3" t="s">
        <v>16</v>
      </c>
    </row>
    <row r="2" spans="1:26" x14ac:dyDescent="0.4">
      <c r="A2" s="12">
        <v>45818.952777777777</v>
      </c>
      <c r="B2" s="10">
        <v>0.95277777777777772</v>
      </c>
      <c r="C2" s="10" t="s">
        <v>163</v>
      </c>
      <c r="D2" s="7" t="s">
        <v>17</v>
      </c>
      <c r="J2" s="20" t="s">
        <v>20</v>
      </c>
      <c r="K2">
        <v>1485</v>
      </c>
      <c r="L2">
        <v>749</v>
      </c>
      <c r="M2">
        <v>1050</v>
      </c>
      <c r="N2">
        <v>1690</v>
      </c>
      <c r="O2">
        <v>1490</v>
      </c>
      <c r="P2">
        <v>1790</v>
      </c>
      <c r="Q2" s="5"/>
      <c r="V2" t="s">
        <v>25</v>
      </c>
      <c r="W2" t="s">
        <v>25</v>
      </c>
      <c r="X2">
        <v>1</v>
      </c>
      <c r="Y2" t="s">
        <v>100</v>
      </c>
    </row>
    <row r="3" spans="1:26" x14ac:dyDescent="0.4">
      <c r="A3" s="12">
        <v>45818.954861111109</v>
      </c>
      <c r="B3" s="10">
        <v>0.95486111111111116</v>
      </c>
      <c r="C3" s="10" t="s">
        <v>164</v>
      </c>
      <c r="D3" s="7" t="s">
        <v>19</v>
      </c>
      <c r="J3" s="20" t="s">
        <v>21</v>
      </c>
      <c r="Q3">
        <v>5450</v>
      </c>
      <c r="V3" t="s">
        <v>25</v>
      </c>
      <c r="W3" t="s">
        <v>25</v>
      </c>
      <c r="X3">
        <v>1</v>
      </c>
      <c r="Y3" t="s">
        <v>101</v>
      </c>
    </row>
    <row r="4" spans="1:26" x14ac:dyDescent="0.4">
      <c r="A4" s="12">
        <v>45818.956250000003</v>
      </c>
      <c r="B4" s="10">
        <v>0.95625000000000004</v>
      </c>
      <c r="C4" s="10" t="s">
        <v>165</v>
      </c>
      <c r="D4" s="7" t="s">
        <v>22</v>
      </c>
      <c r="J4" s="20" t="s">
        <v>47</v>
      </c>
      <c r="N4">
        <v>1800</v>
      </c>
      <c r="O4">
        <v>750</v>
      </c>
      <c r="P4">
        <v>1500</v>
      </c>
      <c r="V4" t="s">
        <v>26</v>
      </c>
      <c r="W4" t="s">
        <v>25</v>
      </c>
      <c r="X4">
        <v>1</v>
      </c>
      <c r="Y4" t="s">
        <v>116</v>
      </c>
    </row>
    <row r="5" spans="1:26" x14ac:dyDescent="0.4">
      <c r="A5" s="12">
        <v>45818.958333333336</v>
      </c>
      <c r="B5" s="10">
        <v>0.95833333333333337</v>
      </c>
      <c r="C5" s="10" t="s">
        <v>166</v>
      </c>
      <c r="D5" s="7" t="s">
        <v>23</v>
      </c>
      <c r="J5" s="20" t="s">
        <v>24</v>
      </c>
      <c r="K5">
        <v>1300</v>
      </c>
      <c r="L5">
        <v>800</v>
      </c>
      <c r="M5">
        <v>900</v>
      </c>
      <c r="N5">
        <v>1400</v>
      </c>
      <c r="P5">
        <v>1200</v>
      </c>
      <c r="V5" t="s">
        <v>26</v>
      </c>
      <c r="W5" t="s">
        <v>25</v>
      </c>
      <c r="X5">
        <v>1</v>
      </c>
      <c r="Y5" t="s">
        <v>117</v>
      </c>
    </row>
    <row r="6" spans="1:26" x14ac:dyDescent="0.4">
      <c r="A6" s="12">
        <v>45818.960416666669</v>
      </c>
      <c r="B6" s="10">
        <v>0.9604166666666667</v>
      </c>
      <c r="C6" s="10" t="s">
        <v>167</v>
      </c>
      <c r="D6" s="7" t="s">
        <v>27</v>
      </c>
      <c r="J6" s="20" t="s">
        <v>28</v>
      </c>
      <c r="P6">
        <v>1950</v>
      </c>
      <c r="V6" t="s">
        <v>25</v>
      </c>
      <c r="W6" t="s">
        <v>25</v>
      </c>
      <c r="X6">
        <v>1</v>
      </c>
      <c r="Y6" t="s">
        <v>118</v>
      </c>
    </row>
    <row r="7" spans="1:26" x14ac:dyDescent="0.4">
      <c r="A7" s="12">
        <v>45818.961111111108</v>
      </c>
      <c r="B7" s="10">
        <v>0.96111111111111114</v>
      </c>
      <c r="C7" s="10" t="s">
        <v>168</v>
      </c>
      <c r="D7" s="7" t="s">
        <v>29</v>
      </c>
      <c r="J7" s="20" t="s">
        <v>20</v>
      </c>
      <c r="K7">
        <v>1290</v>
      </c>
      <c r="L7">
        <v>749</v>
      </c>
      <c r="M7">
        <v>949</v>
      </c>
      <c r="N7">
        <v>1400</v>
      </c>
      <c r="O7">
        <v>1490</v>
      </c>
      <c r="P7">
        <v>1790</v>
      </c>
      <c r="Q7" s="5"/>
      <c r="V7" t="s">
        <v>25</v>
      </c>
      <c r="W7" t="s">
        <v>25</v>
      </c>
      <c r="X7">
        <v>1</v>
      </c>
      <c r="Y7" t="s">
        <v>119</v>
      </c>
    </row>
    <row r="8" spans="1:26" x14ac:dyDescent="0.4">
      <c r="A8" s="12">
        <v>45818.96597222222</v>
      </c>
      <c r="B8" s="10">
        <v>0.96597222222222223</v>
      </c>
      <c r="C8" s="10" t="s">
        <v>169</v>
      </c>
      <c r="D8" s="7" t="s">
        <v>30</v>
      </c>
      <c r="J8" s="20" t="s">
        <v>21</v>
      </c>
      <c r="Q8">
        <v>5450</v>
      </c>
      <c r="V8" t="s">
        <v>25</v>
      </c>
      <c r="W8" t="s">
        <v>25</v>
      </c>
      <c r="X8">
        <v>1</v>
      </c>
      <c r="Y8" t="s">
        <v>120</v>
      </c>
    </row>
    <row r="9" spans="1:26" x14ac:dyDescent="0.4">
      <c r="A9" s="12">
        <v>45818.966666666667</v>
      </c>
      <c r="B9" s="10">
        <v>0.96666666666666667</v>
      </c>
      <c r="C9" s="10" t="s">
        <v>170</v>
      </c>
      <c r="D9" s="7" t="s">
        <v>31</v>
      </c>
      <c r="J9" s="20" t="s">
        <v>47</v>
      </c>
      <c r="K9">
        <v>2400</v>
      </c>
      <c r="L9">
        <v>1300</v>
      </c>
      <c r="M9">
        <v>1600</v>
      </c>
      <c r="N9">
        <v>2400</v>
      </c>
      <c r="P9">
        <v>1700</v>
      </c>
      <c r="V9" t="s">
        <v>26</v>
      </c>
      <c r="W9" t="s">
        <v>25</v>
      </c>
      <c r="X9">
        <v>1</v>
      </c>
      <c r="Y9" t="s">
        <v>121</v>
      </c>
    </row>
    <row r="10" spans="1:26" x14ac:dyDescent="0.4">
      <c r="A10" s="12">
        <v>45818.968055555553</v>
      </c>
      <c r="B10" s="10">
        <v>0.96805555555555556</v>
      </c>
      <c r="C10" s="10" t="s">
        <v>171</v>
      </c>
      <c r="D10" s="7" t="s">
        <v>32</v>
      </c>
      <c r="J10" s="20" t="s">
        <v>20</v>
      </c>
      <c r="K10">
        <v>1290</v>
      </c>
      <c r="L10">
        <v>749</v>
      </c>
      <c r="M10">
        <v>899</v>
      </c>
      <c r="N10">
        <v>1290</v>
      </c>
      <c r="O10">
        <v>1490</v>
      </c>
      <c r="P10">
        <v>1785</v>
      </c>
      <c r="Q10" s="5"/>
      <c r="V10" t="s">
        <v>25</v>
      </c>
      <c r="W10" t="s">
        <v>25</v>
      </c>
      <c r="X10">
        <v>1</v>
      </c>
      <c r="Y10" t="s">
        <v>122</v>
      </c>
    </row>
    <row r="11" spans="1:26" x14ac:dyDescent="0.4">
      <c r="A11" s="12">
        <v>45818.974305555559</v>
      </c>
      <c r="B11" s="10">
        <v>0.97430555555555554</v>
      </c>
      <c r="C11" s="10" t="s">
        <v>172</v>
      </c>
      <c r="D11" s="7" t="s">
        <v>33</v>
      </c>
      <c r="J11" s="20" t="s">
        <v>24</v>
      </c>
      <c r="K11">
        <v>1800</v>
      </c>
      <c r="L11">
        <v>1500</v>
      </c>
      <c r="M11">
        <v>1300</v>
      </c>
      <c r="N11">
        <v>1000</v>
      </c>
      <c r="P11">
        <v>1000</v>
      </c>
      <c r="V11" t="s">
        <v>26</v>
      </c>
      <c r="W11" t="s">
        <v>25</v>
      </c>
      <c r="X11">
        <v>1</v>
      </c>
      <c r="Y11" t="s">
        <v>123</v>
      </c>
    </row>
    <row r="12" spans="1:26" x14ac:dyDescent="0.4">
      <c r="A12" s="12">
        <v>45818.976388888892</v>
      </c>
      <c r="B12" s="10">
        <v>0.97638888888888886</v>
      </c>
      <c r="C12" s="10" t="s">
        <v>173</v>
      </c>
      <c r="D12" s="7" t="s">
        <v>34</v>
      </c>
      <c r="J12" s="20" t="s">
        <v>35</v>
      </c>
      <c r="O12">
        <v>1000</v>
      </c>
      <c r="V12" t="s">
        <v>26</v>
      </c>
      <c r="W12" t="s">
        <v>25</v>
      </c>
      <c r="X12">
        <v>1</v>
      </c>
      <c r="Y12" t="s">
        <v>124</v>
      </c>
    </row>
    <row r="13" spans="1:26" x14ac:dyDescent="0.4">
      <c r="A13" s="12">
        <v>45818.977777777778</v>
      </c>
      <c r="B13" s="10">
        <v>0.97777777777777775</v>
      </c>
      <c r="C13" s="10" t="s">
        <v>174</v>
      </c>
      <c r="D13" s="7" t="s">
        <v>391</v>
      </c>
      <c r="J13" s="20" t="s">
        <v>47</v>
      </c>
      <c r="L13">
        <v>1800</v>
      </c>
      <c r="M13">
        <v>2000</v>
      </c>
      <c r="P13">
        <v>1300</v>
      </c>
      <c r="V13" t="s">
        <v>26</v>
      </c>
      <c r="W13" t="s">
        <v>25</v>
      </c>
      <c r="X13">
        <v>1</v>
      </c>
      <c r="Y13" t="s">
        <v>390</v>
      </c>
    </row>
    <row r="14" spans="1:26" x14ac:dyDescent="0.4">
      <c r="A14" s="12">
        <v>45818.978472222225</v>
      </c>
      <c r="B14" s="10">
        <v>0.97847222222222219</v>
      </c>
      <c r="C14" s="10" t="s">
        <v>175</v>
      </c>
      <c r="D14" s="7" t="s">
        <v>36</v>
      </c>
      <c r="J14" s="20" t="s">
        <v>37</v>
      </c>
      <c r="K14">
        <v>1740</v>
      </c>
      <c r="L14">
        <v>790</v>
      </c>
      <c r="M14">
        <v>990</v>
      </c>
      <c r="N14">
        <v>1190</v>
      </c>
      <c r="O14" s="5"/>
      <c r="P14" s="9">
        <v>2410</v>
      </c>
      <c r="Q14" s="5"/>
      <c r="V14" t="s">
        <v>25</v>
      </c>
      <c r="W14" t="s">
        <v>25</v>
      </c>
      <c r="X14">
        <v>1</v>
      </c>
      <c r="Y14" t="s">
        <v>125</v>
      </c>
    </row>
    <row r="15" spans="1:26" x14ac:dyDescent="0.4">
      <c r="A15" s="12">
        <v>45818.981249999997</v>
      </c>
      <c r="B15" s="10">
        <v>0.98124999999999996</v>
      </c>
      <c r="C15" s="10" t="s">
        <v>176</v>
      </c>
      <c r="D15" s="7" t="s">
        <v>38</v>
      </c>
      <c r="J15" s="20" t="s">
        <v>47</v>
      </c>
      <c r="N15">
        <v>1800</v>
      </c>
      <c r="O15">
        <v>1000</v>
      </c>
      <c r="V15" t="s">
        <v>26</v>
      </c>
      <c r="W15" t="s">
        <v>25</v>
      </c>
      <c r="X15">
        <v>1</v>
      </c>
      <c r="Y15" t="s">
        <v>126</v>
      </c>
    </row>
    <row r="16" spans="1:26" x14ac:dyDescent="0.4">
      <c r="A16" s="12">
        <v>45818.982638888891</v>
      </c>
      <c r="B16" s="10">
        <v>0.98263888888888884</v>
      </c>
      <c r="C16" s="10" t="s">
        <v>177</v>
      </c>
      <c r="D16" s="7" t="s">
        <v>39</v>
      </c>
      <c r="J16" s="20" t="s">
        <v>20</v>
      </c>
      <c r="K16">
        <v>1290</v>
      </c>
      <c r="L16">
        <v>749</v>
      </c>
      <c r="M16">
        <v>899</v>
      </c>
      <c r="N16">
        <v>1290</v>
      </c>
      <c r="O16">
        <v>1490</v>
      </c>
      <c r="P16">
        <v>1785</v>
      </c>
      <c r="Q16" s="5"/>
      <c r="V16" t="s">
        <v>25</v>
      </c>
      <c r="W16" t="s">
        <v>25</v>
      </c>
      <c r="X16">
        <v>1</v>
      </c>
      <c r="Y16" t="s">
        <v>127</v>
      </c>
    </row>
    <row r="17" spans="1:25" x14ac:dyDescent="0.4">
      <c r="A17" s="12">
        <v>45818.986111111109</v>
      </c>
      <c r="B17" s="10">
        <v>0.98611111111111116</v>
      </c>
      <c r="C17" s="10" t="s">
        <v>178</v>
      </c>
      <c r="D17" s="7" t="s">
        <v>40</v>
      </c>
      <c r="J17" s="20" t="s">
        <v>47</v>
      </c>
      <c r="K17">
        <v>1900</v>
      </c>
      <c r="L17">
        <v>1300</v>
      </c>
      <c r="M17">
        <v>1400</v>
      </c>
      <c r="N17">
        <v>2600</v>
      </c>
      <c r="P17">
        <v>1035</v>
      </c>
      <c r="V17" t="s">
        <v>26</v>
      </c>
      <c r="W17" t="s">
        <v>25</v>
      </c>
      <c r="X17">
        <v>1</v>
      </c>
      <c r="Y17" t="s">
        <v>128</v>
      </c>
    </row>
    <row r="18" spans="1:25" x14ac:dyDescent="0.4">
      <c r="A18" s="12">
        <v>45818.990277777775</v>
      </c>
      <c r="B18" s="10">
        <v>0.99027777777777781</v>
      </c>
      <c r="C18" s="10" t="s">
        <v>179</v>
      </c>
      <c r="D18" s="7" t="s">
        <v>41</v>
      </c>
      <c r="J18" s="20" t="s">
        <v>66</v>
      </c>
      <c r="N18">
        <v>2200</v>
      </c>
      <c r="O18">
        <v>900</v>
      </c>
      <c r="P18">
        <v>1742</v>
      </c>
      <c r="V18" t="s">
        <v>26</v>
      </c>
      <c r="W18" t="s">
        <v>25</v>
      </c>
      <c r="X18">
        <v>1</v>
      </c>
      <c r="Y18" t="s">
        <v>129</v>
      </c>
    </row>
    <row r="19" spans="1:25" x14ac:dyDescent="0.4">
      <c r="A19" s="12">
        <v>45818.990972222222</v>
      </c>
      <c r="B19" s="10">
        <v>0.99097222222222225</v>
      </c>
      <c r="C19" s="10" t="s">
        <v>180</v>
      </c>
      <c r="D19" s="7" t="s">
        <v>42</v>
      </c>
      <c r="J19" s="20" t="s">
        <v>20</v>
      </c>
      <c r="K19">
        <v>1290</v>
      </c>
      <c r="L19">
        <v>749</v>
      </c>
      <c r="M19">
        <v>899</v>
      </c>
      <c r="N19">
        <v>1290</v>
      </c>
      <c r="O19">
        <v>1490</v>
      </c>
      <c r="P19">
        <v>1785</v>
      </c>
      <c r="Q19" s="5"/>
      <c r="V19" t="s">
        <v>25</v>
      </c>
      <c r="W19" t="s">
        <v>25</v>
      </c>
      <c r="X19">
        <v>1</v>
      </c>
      <c r="Y19" t="s">
        <v>130</v>
      </c>
    </row>
    <row r="20" spans="1:25" x14ac:dyDescent="0.4">
      <c r="A20" s="12">
        <v>45818.996527777781</v>
      </c>
      <c r="B20" s="10">
        <v>0.99652777777777779</v>
      </c>
      <c r="C20" s="10" t="s">
        <v>181</v>
      </c>
      <c r="D20" s="7" t="s">
        <v>43</v>
      </c>
      <c r="J20" s="20" t="s">
        <v>24</v>
      </c>
      <c r="K20">
        <v>1700</v>
      </c>
      <c r="L20">
        <v>900</v>
      </c>
      <c r="M20">
        <v>1300</v>
      </c>
      <c r="N20">
        <v>1200</v>
      </c>
      <c r="O20">
        <v>1000</v>
      </c>
      <c r="P20">
        <v>1600</v>
      </c>
      <c r="Q20">
        <v>8600</v>
      </c>
      <c r="V20" t="s">
        <v>26</v>
      </c>
      <c r="W20" t="s">
        <v>25</v>
      </c>
      <c r="X20">
        <v>1</v>
      </c>
      <c r="Y20" t="s">
        <v>131</v>
      </c>
    </row>
    <row r="21" spans="1:25" x14ac:dyDescent="0.4">
      <c r="A21" s="12">
        <v>45818.999305555553</v>
      </c>
      <c r="B21" s="10">
        <v>0.99930555555555556</v>
      </c>
      <c r="C21" s="10" t="s">
        <v>182</v>
      </c>
      <c r="D21" s="7" t="s">
        <v>44</v>
      </c>
      <c r="J21" s="20" t="s">
        <v>35</v>
      </c>
      <c r="O21">
        <v>1000</v>
      </c>
      <c r="V21" t="s">
        <v>26</v>
      </c>
      <c r="W21" t="s">
        <v>25</v>
      </c>
      <c r="X21">
        <v>1</v>
      </c>
      <c r="Y21" t="s">
        <v>132</v>
      </c>
    </row>
    <row r="22" spans="1:25" x14ac:dyDescent="0.4">
      <c r="A22" s="12">
        <v>45819</v>
      </c>
      <c r="B22" s="10">
        <v>0</v>
      </c>
      <c r="C22" s="10" t="s">
        <v>183</v>
      </c>
      <c r="D22" s="7" t="s">
        <v>45</v>
      </c>
      <c r="J22" s="20" t="s">
        <v>37</v>
      </c>
      <c r="K22">
        <v>1390</v>
      </c>
      <c r="L22">
        <v>790</v>
      </c>
      <c r="M22">
        <v>990</v>
      </c>
      <c r="N22">
        <v>1600</v>
      </c>
      <c r="O22" s="5"/>
      <c r="P22" s="9">
        <v>2145</v>
      </c>
      <c r="Q22" s="5"/>
      <c r="V22" t="s">
        <v>25</v>
      </c>
      <c r="W22" t="s">
        <v>25</v>
      </c>
      <c r="X22">
        <v>1</v>
      </c>
      <c r="Y22" t="s">
        <v>239</v>
      </c>
    </row>
    <row r="23" spans="1:25" x14ac:dyDescent="0.4">
      <c r="A23" s="12">
        <v>45819.00277777778</v>
      </c>
      <c r="B23" s="10">
        <v>2.7777777777777779E-3</v>
      </c>
      <c r="C23" s="10" t="s">
        <v>184</v>
      </c>
      <c r="D23" s="7" t="s">
        <v>46</v>
      </c>
      <c r="J23" s="20" t="s">
        <v>47</v>
      </c>
      <c r="M23">
        <v>1500</v>
      </c>
      <c r="N23">
        <v>1800</v>
      </c>
      <c r="V23" t="s">
        <v>26</v>
      </c>
      <c r="W23" t="s">
        <v>25</v>
      </c>
      <c r="X23">
        <v>1</v>
      </c>
      <c r="Y23" t="s">
        <v>133</v>
      </c>
    </row>
    <row r="24" spans="1:25" x14ac:dyDescent="0.4">
      <c r="A24" s="12">
        <v>45819.003472222219</v>
      </c>
      <c r="B24" s="10">
        <v>3.472222222222222E-3</v>
      </c>
      <c r="C24" s="10" t="s">
        <v>185</v>
      </c>
      <c r="D24" s="7" t="s">
        <v>48</v>
      </c>
      <c r="J24" s="20" t="s">
        <v>35</v>
      </c>
      <c r="O24">
        <v>800</v>
      </c>
      <c r="V24" t="s">
        <v>26</v>
      </c>
      <c r="W24" t="s">
        <v>25</v>
      </c>
      <c r="X24">
        <v>1</v>
      </c>
      <c r="Y24" t="s">
        <v>134</v>
      </c>
    </row>
    <row r="25" spans="1:25" x14ac:dyDescent="0.4">
      <c r="A25" s="12">
        <v>45819.004861111112</v>
      </c>
      <c r="B25" s="10">
        <v>4.8611111111111112E-3</v>
      </c>
      <c r="C25" s="10" t="s">
        <v>186</v>
      </c>
      <c r="D25" s="7" t="s">
        <v>49</v>
      </c>
      <c r="J25" s="20" t="s">
        <v>47</v>
      </c>
      <c r="L25">
        <v>2500</v>
      </c>
      <c r="N25">
        <v>2000</v>
      </c>
      <c r="V25" t="s">
        <v>26</v>
      </c>
      <c r="W25" t="s">
        <v>25</v>
      </c>
      <c r="X25">
        <v>1</v>
      </c>
      <c r="Y25" t="s">
        <v>135</v>
      </c>
    </row>
    <row r="26" spans="1:25" x14ac:dyDescent="0.4">
      <c r="A26" s="12">
        <v>45819.005555555559</v>
      </c>
      <c r="B26" s="10">
        <v>5.5555555555555558E-3</v>
      </c>
      <c r="C26" s="10" t="s">
        <v>187</v>
      </c>
      <c r="D26" s="7" t="s">
        <v>50</v>
      </c>
      <c r="J26" s="20" t="s">
        <v>47</v>
      </c>
      <c r="M26">
        <v>1100</v>
      </c>
      <c r="N26">
        <v>1800</v>
      </c>
      <c r="O26">
        <v>700</v>
      </c>
      <c r="P26">
        <v>1200</v>
      </c>
      <c r="Q26">
        <v>14500</v>
      </c>
      <c r="V26" t="s">
        <v>26</v>
      </c>
      <c r="W26" t="s">
        <v>25</v>
      </c>
      <c r="X26">
        <v>1</v>
      </c>
      <c r="Y26" t="s">
        <v>136</v>
      </c>
    </row>
    <row r="27" spans="1:25" x14ac:dyDescent="0.4">
      <c r="A27" s="12">
        <v>45819.009027777778</v>
      </c>
      <c r="B27" s="10">
        <v>9.0277777777777769E-3</v>
      </c>
      <c r="C27" s="10" t="s">
        <v>188</v>
      </c>
      <c r="D27" s="7" t="s">
        <v>51</v>
      </c>
      <c r="J27" s="20" t="s">
        <v>24</v>
      </c>
      <c r="L27">
        <v>1500</v>
      </c>
      <c r="M27">
        <v>1700</v>
      </c>
      <c r="N27">
        <v>2000</v>
      </c>
      <c r="O27">
        <v>1200</v>
      </c>
      <c r="P27">
        <v>1500</v>
      </c>
      <c r="Q27">
        <v>900</v>
      </c>
      <c r="V27" t="s">
        <v>26</v>
      </c>
      <c r="W27" t="s">
        <v>25</v>
      </c>
      <c r="X27">
        <v>1</v>
      </c>
      <c r="Y27" t="s">
        <v>137</v>
      </c>
    </row>
    <row r="28" spans="1:25" x14ac:dyDescent="0.4">
      <c r="A28" s="12">
        <v>45820.73541666667</v>
      </c>
      <c r="B28" s="10">
        <v>0.73541666666666672</v>
      </c>
      <c r="C28" s="10" t="s">
        <v>189</v>
      </c>
      <c r="D28" s="7" t="s">
        <v>52</v>
      </c>
      <c r="J28" s="20" t="s">
        <v>24</v>
      </c>
      <c r="K28">
        <v>1600</v>
      </c>
      <c r="L28">
        <v>1000</v>
      </c>
      <c r="M28">
        <v>1500</v>
      </c>
      <c r="N28">
        <v>1800</v>
      </c>
      <c r="O28">
        <v>1000</v>
      </c>
      <c r="P28">
        <v>2300</v>
      </c>
      <c r="V28" t="s">
        <v>26</v>
      </c>
      <c r="W28" t="s">
        <v>25</v>
      </c>
      <c r="X28">
        <v>1</v>
      </c>
      <c r="Y28" t="s">
        <v>138</v>
      </c>
    </row>
    <row r="29" spans="1:25" x14ac:dyDescent="0.4">
      <c r="A29" s="12">
        <v>45820.745833333334</v>
      </c>
      <c r="B29" s="10">
        <v>0.74583333333333335</v>
      </c>
      <c r="C29" s="10" t="s">
        <v>190</v>
      </c>
      <c r="D29" s="7" t="s">
        <v>54</v>
      </c>
      <c r="J29" s="20" t="s">
        <v>24</v>
      </c>
      <c r="K29">
        <v>1400</v>
      </c>
      <c r="L29">
        <v>2000</v>
      </c>
      <c r="M29">
        <v>2000</v>
      </c>
      <c r="N29">
        <v>4000</v>
      </c>
      <c r="P29">
        <v>2136</v>
      </c>
      <c r="V29" t="s">
        <v>26</v>
      </c>
      <c r="W29" t="s">
        <v>25</v>
      </c>
      <c r="X29">
        <v>1</v>
      </c>
      <c r="Y29" t="s">
        <v>139</v>
      </c>
    </row>
    <row r="30" spans="1:25" x14ac:dyDescent="0.4">
      <c r="A30" s="12">
        <v>45820.750694444447</v>
      </c>
      <c r="B30" s="10">
        <v>0.75069444444444444</v>
      </c>
      <c r="C30" s="10" t="s">
        <v>191</v>
      </c>
      <c r="D30" s="7" t="s">
        <v>55</v>
      </c>
      <c r="J30" s="20" t="s">
        <v>35</v>
      </c>
      <c r="O30">
        <v>1333</v>
      </c>
      <c r="V30" t="s">
        <v>26</v>
      </c>
      <c r="W30" t="s">
        <v>25</v>
      </c>
      <c r="X30">
        <v>1</v>
      </c>
      <c r="Y30" t="s">
        <v>140</v>
      </c>
    </row>
    <row r="31" spans="1:25" x14ac:dyDescent="0.4">
      <c r="A31" s="12">
        <v>45820.751388888886</v>
      </c>
      <c r="B31" s="10">
        <v>0.75138888888888888</v>
      </c>
      <c r="C31" s="10" t="s">
        <v>192</v>
      </c>
      <c r="D31" s="7" t="s">
        <v>56</v>
      </c>
      <c r="J31" s="20" t="s">
        <v>20</v>
      </c>
      <c r="K31">
        <v>1290</v>
      </c>
      <c r="L31">
        <v>749</v>
      </c>
      <c r="M31">
        <v>949</v>
      </c>
      <c r="N31">
        <v>1290</v>
      </c>
      <c r="O31">
        <v>1400</v>
      </c>
      <c r="P31">
        <v>1788</v>
      </c>
      <c r="Q31">
        <v>9350</v>
      </c>
      <c r="V31" t="s">
        <v>25</v>
      </c>
      <c r="W31" t="s">
        <v>25</v>
      </c>
      <c r="X31">
        <v>1</v>
      </c>
      <c r="Y31" t="s">
        <v>141</v>
      </c>
    </row>
    <row r="32" spans="1:25" x14ac:dyDescent="0.4">
      <c r="A32" s="12">
        <v>45820.759722222225</v>
      </c>
      <c r="B32" s="10">
        <v>0.75972222222222219</v>
      </c>
      <c r="C32" s="10" t="s">
        <v>193</v>
      </c>
      <c r="D32" s="7" t="s">
        <v>57</v>
      </c>
      <c r="J32" s="20" t="s">
        <v>58</v>
      </c>
      <c r="K32">
        <v>2100</v>
      </c>
      <c r="L32">
        <v>1200</v>
      </c>
      <c r="M32">
        <v>2000</v>
      </c>
      <c r="N32">
        <v>5200</v>
      </c>
      <c r="U32" t="s">
        <v>243</v>
      </c>
      <c r="V32" t="s">
        <v>26</v>
      </c>
      <c r="W32" t="s">
        <v>25</v>
      </c>
      <c r="X32">
        <v>1</v>
      </c>
      <c r="Y32" t="s">
        <v>142</v>
      </c>
    </row>
    <row r="33" spans="1:25" x14ac:dyDescent="0.4">
      <c r="A33" s="12">
        <v>45820.770138888889</v>
      </c>
      <c r="B33" s="10">
        <v>0.77013888888888893</v>
      </c>
      <c r="C33" s="10" t="s">
        <v>194</v>
      </c>
      <c r="D33" s="7" t="s">
        <v>384</v>
      </c>
      <c r="J33" s="20" t="s">
        <v>47</v>
      </c>
      <c r="K33">
        <v>1485</v>
      </c>
      <c r="L33">
        <v>940</v>
      </c>
      <c r="M33">
        <v>949</v>
      </c>
      <c r="N33">
        <v>1400</v>
      </c>
      <c r="O33">
        <v>1400</v>
      </c>
      <c r="P33">
        <v>1288</v>
      </c>
      <c r="V33" t="s">
        <v>26</v>
      </c>
      <c r="W33" t="s">
        <v>25</v>
      </c>
      <c r="X33">
        <v>1</v>
      </c>
      <c r="Y33" t="s">
        <v>385</v>
      </c>
    </row>
    <row r="34" spans="1:25" x14ac:dyDescent="0.4">
      <c r="A34" s="12">
        <v>45820.773611111108</v>
      </c>
      <c r="B34" s="10">
        <v>0.77361111111111114</v>
      </c>
      <c r="C34" s="10" t="s">
        <v>195</v>
      </c>
      <c r="D34" s="7" t="s">
        <v>59</v>
      </c>
      <c r="J34" s="20" t="s">
        <v>60</v>
      </c>
      <c r="K34">
        <v>1290</v>
      </c>
      <c r="L34">
        <v>870</v>
      </c>
      <c r="M34">
        <v>1080</v>
      </c>
      <c r="N34">
        <v>1050</v>
      </c>
      <c r="O34">
        <v>1629</v>
      </c>
      <c r="P34">
        <v>1845</v>
      </c>
      <c r="Q34">
        <v>5315</v>
      </c>
      <c r="V34" t="s">
        <v>25</v>
      </c>
      <c r="W34" t="s">
        <v>25</v>
      </c>
      <c r="X34">
        <v>1</v>
      </c>
      <c r="Y34" t="s">
        <v>143</v>
      </c>
    </row>
    <row r="35" spans="1:25" x14ac:dyDescent="0.4">
      <c r="A35" s="12">
        <v>45820.78125</v>
      </c>
      <c r="B35" s="10">
        <v>0.78125</v>
      </c>
      <c r="C35" s="10" t="s">
        <v>196</v>
      </c>
      <c r="D35" s="7" t="s">
        <v>389</v>
      </c>
      <c r="J35" s="20" t="s">
        <v>47</v>
      </c>
      <c r="L35">
        <v>1000</v>
      </c>
      <c r="N35">
        <v>1400</v>
      </c>
      <c r="O35">
        <v>1500</v>
      </c>
      <c r="V35" t="s">
        <v>26</v>
      </c>
      <c r="W35" t="s">
        <v>25</v>
      </c>
      <c r="X35">
        <v>1</v>
      </c>
      <c r="Y35" t="s">
        <v>388</v>
      </c>
    </row>
    <row r="36" spans="1:25" x14ac:dyDescent="0.4">
      <c r="A36" s="12">
        <v>45820.787499999999</v>
      </c>
      <c r="B36" s="10">
        <v>0.78680555555555554</v>
      </c>
      <c r="C36" s="10" t="s">
        <v>197</v>
      </c>
      <c r="D36" s="7" t="s">
        <v>383</v>
      </c>
      <c r="J36" s="20" t="s">
        <v>61</v>
      </c>
      <c r="K36">
        <v>1950</v>
      </c>
      <c r="L36">
        <v>870</v>
      </c>
      <c r="M36">
        <v>1080</v>
      </c>
      <c r="N36">
        <v>1550</v>
      </c>
      <c r="O36">
        <v>969</v>
      </c>
      <c r="P36">
        <v>139</v>
      </c>
      <c r="Q36">
        <v>8855</v>
      </c>
      <c r="V36" t="s">
        <v>25</v>
      </c>
      <c r="W36" t="s">
        <v>25</v>
      </c>
      <c r="X36">
        <v>1</v>
      </c>
      <c r="Y36" t="s">
        <v>382</v>
      </c>
    </row>
    <row r="37" spans="1:25" x14ac:dyDescent="0.4">
      <c r="A37" s="12">
        <v>45820.792361111111</v>
      </c>
      <c r="B37" s="10">
        <v>0.79236111111111107</v>
      </c>
      <c r="C37" s="10" t="s">
        <v>198</v>
      </c>
      <c r="D37" s="7" t="s">
        <v>62</v>
      </c>
      <c r="J37" s="20" t="s">
        <v>20</v>
      </c>
      <c r="K37">
        <v>1290</v>
      </c>
      <c r="L37">
        <v>749</v>
      </c>
      <c r="M37">
        <v>949</v>
      </c>
      <c r="N37">
        <v>1290</v>
      </c>
      <c r="O37">
        <v>1590</v>
      </c>
      <c r="P37">
        <v>1788</v>
      </c>
      <c r="V37" t="s">
        <v>25</v>
      </c>
      <c r="W37" t="s">
        <v>25</v>
      </c>
      <c r="X37">
        <v>1</v>
      </c>
      <c r="Y37" t="s">
        <v>144</v>
      </c>
    </row>
    <row r="38" spans="1:25" x14ac:dyDescent="0.4">
      <c r="A38" s="12">
        <v>45820.795138888891</v>
      </c>
      <c r="B38" s="10">
        <v>0.79513888888888884</v>
      </c>
      <c r="C38" s="10" t="s">
        <v>199</v>
      </c>
      <c r="D38" s="7" t="s">
        <v>63</v>
      </c>
      <c r="J38" s="20" t="s">
        <v>35</v>
      </c>
      <c r="O38">
        <v>1000</v>
      </c>
      <c r="V38" t="s">
        <v>26</v>
      </c>
      <c r="W38" t="s">
        <v>25</v>
      </c>
      <c r="X38">
        <v>1</v>
      </c>
      <c r="Y38" t="s">
        <v>145</v>
      </c>
    </row>
    <row r="39" spans="1:25" x14ac:dyDescent="0.4">
      <c r="A39" s="12">
        <v>45820.79583333333</v>
      </c>
      <c r="B39" s="10">
        <v>0.79583333333333328</v>
      </c>
      <c r="C39" s="10" t="s">
        <v>200</v>
      </c>
      <c r="D39" s="7" t="s">
        <v>64</v>
      </c>
      <c r="J39" s="20" t="s">
        <v>21</v>
      </c>
      <c r="Q39">
        <v>545</v>
      </c>
      <c r="V39" t="s">
        <v>25</v>
      </c>
      <c r="W39" t="s">
        <v>25</v>
      </c>
      <c r="X39">
        <v>1</v>
      </c>
      <c r="Y39" t="s">
        <v>146</v>
      </c>
    </row>
    <row r="40" spans="1:25" x14ac:dyDescent="0.4">
      <c r="A40" s="12">
        <v>45820.797222222223</v>
      </c>
      <c r="B40" s="10">
        <v>0.79722222222222228</v>
      </c>
      <c r="C40" s="10" t="s">
        <v>201</v>
      </c>
      <c r="D40" s="7" t="s">
        <v>65</v>
      </c>
      <c r="J40" s="20" t="s">
        <v>66</v>
      </c>
      <c r="L40">
        <v>1400</v>
      </c>
      <c r="M40">
        <v>1200</v>
      </c>
      <c r="P40">
        <v>1500</v>
      </c>
      <c r="V40" t="s">
        <v>26</v>
      </c>
      <c r="W40" t="s">
        <v>25</v>
      </c>
      <c r="X40">
        <v>1</v>
      </c>
      <c r="Y40" t="s">
        <v>147</v>
      </c>
    </row>
    <row r="41" spans="1:25" x14ac:dyDescent="0.4">
      <c r="A41" s="12">
        <v>45820.806250000001</v>
      </c>
      <c r="B41" s="10">
        <v>0.80625000000000002</v>
      </c>
      <c r="C41" s="10" t="s">
        <v>202</v>
      </c>
      <c r="D41" s="7" t="s">
        <v>67</v>
      </c>
      <c r="J41" s="20" t="s">
        <v>35</v>
      </c>
      <c r="O41">
        <v>1000</v>
      </c>
      <c r="V41" t="s">
        <v>26</v>
      </c>
      <c r="W41" t="s">
        <v>25</v>
      </c>
      <c r="X41">
        <v>1</v>
      </c>
      <c r="Y41" t="s">
        <v>148</v>
      </c>
    </row>
    <row r="42" spans="1:25" x14ac:dyDescent="0.4">
      <c r="A42" s="12">
        <v>45820.813888888886</v>
      </c>
      <c r="B42" s="10">
        <v>0.81388888888888888</v>
      </c>
      <c r="C42" s="10" t="s">
        <v>203</v>
      </c>
      <c r="D42" s="7" t="s">
        <v>68</v>
      </c>
      <c r="J42" s="20" t="s">
        <v>69</v>
      </c>
      <c r="K42">
        <v>1290</v>
      </c>
      <c r="L42">
        <v>890</v>
      </c>
      <c r="M42">
        <v>899</v>
      </c>
      <c r="N42">
        <v>1280</v>
      </c>
      <c r="O42">
        <v>600</v>
      </c>
      <c r="P42">
        <v>1278</v>
      </c>
      <c r="Q42">
        <v>13500</v>
      </c>
      <c r="V42" t="s">
        <v>25</v>
      </c>
      <c r="W42" t="s">
        <v>25</v>
      </c>
      <c r="X42">
        <v>1</v>
      </c>
      <c r="Y42" t="s">
        <v>149</v>
      </c>
    </row>
    <row r="43" spans="1:25" x14ac:dyDescent="0.4">
      <c r="A43" s="12">
        <v>45820.821527777778</v>
      </c>
      <c r="B43" s="10">
        <v>0.82152777777777775</v>
      </c>
      <c r="C43" s="10" t="s">
        <v>204</v>
      </c>
      <c r="D43" s="7" t="s">
        <v>70</v>
      </c>
      <c r="J43" s="20" t="s">
        <v>35</v>
      </c>
      <c r="O43">
        <v>750</v>
      </c>
      <c r="V43" t="s">
        <v>26</v>
      </c>
      <c r="W43" t="s">
        <v>25</v>
      </c>
      <c r="X43">
        <v>1</v>
      </c>
      <c r="Y43" t="s">
        <v>150</v>
      </c>
    </row>
    <row r="44" spans="1:25" x14ac:dyDescent="0.4">
      <c r="A44" s="12">
        <v>45820.822222222225</v>
      </c>
      <c r="B44" s="10">
        <v>0.82222222222222219</v>
      </c>
      <c r="C44" s="10" t="s">
        <v>205</v>
      </c>
      <c r="D44" s="7" t="s">
        <v>379</v>
      </c>
      <c r="J44" s="20" t="s">
        <v>24</v>
      </c>
      <c r="K44">
        <v>1600</v>
      </c>
      <c r="L44">
        <v>900</v>
      </c>
      <c r="M44">
        <v>1300</v>
      </c>
      <c r="N44">
        <v>1600</v>
      </c>
      <c r="O44">
        <v>1000</v>
      </c>
      <c r="P44">
        <v>1600</v>
      </c>
      <c r="V44" t="s">
        <v>26</v>
      </c>
      <c r="W44" t="s">
        <v>25</v>
      </c>
      <c r="X44">
        <v>1</v>
      </c>
      <c r="Y44" t="s">
        <v>378</v>
      </c>
    </row>
    <row r="45" spans="1:25" x14ac:dyDescent="0.4">
      <c r="A45" s="12">
        <v>45820.826388888891</v>
      </c>
      <c r="B45" s="10">
        <v>0.82638888888888884</v>
      </c>
      <c r="C45" s="10" t="s">
        <v>206</v>
      </c>
      <c r="D45" s="7" t="s">
        <v>381</v>
      </c>
      <c r="J45" s="20" t="s">
        <v>35</v>
      </c>
      <c r="O45">
        <v>700</v>
      </c>
      <c r="V45" t="s">
        <v>26</v>
      </c>
      <c r="W45" t="s">
        <v>25</v>
      </c>
      <c r="X45">
        <v>1</v>
      </c>
      <c r="Y45" t="s">
        <v>380</v>
      </c>
    </row>
    <row r="46" spans="1:25" x14ac:dyDescent="0.4">
      <c r="A46" s="12">
        <v>45820.827777777777</v>
      </c>
      <c r="B46" s="10">
        <v>0.82777777777777772</v>
      </c>
      <c r="C46" s="10" t="s">
        <v>207</v>
      </c>
      <c r="D46" s="7" t="s">
        <v>71</v>
      </c>
      <c r="J46" s="20" t="s">
        <v>35</v>
      </c>
      <c r="O46">
        <v>700</v>
      </c>
      <c r="V46" t="s">
        <v>26</v>
      </c>
      <c r="W46" t="s">
        <v>25</v>
      </c>
      <c r="X46">
        <v>1</v>
      </c>
      <c r="Y46" t="s">
        <v>151</v>
      </c>
    </row>
    <row r="47" spans="1:25" x14ac:dyDescent="0.4">
      <c r="A47" s="12">
        <v>45820.84652777778</v>
      </c>
      <c r="B47" s="10">
        <v>0.84652777777777777</v>
      </c>
      <c r="C47" s="10" t="s">
        <v>208</v>
      </c>
      <c r="D47" s="7" t="s">
        <v>371</v>
      </c>
      <c r="J47" s="20" t="s">
        <v>35</v>
      </c>
      <c r="O47">
        <v>900</v>
      </c>
      <c r="V47" t="s">
        <v>26</v>
      </c>
      <c r="W47" t="s">
        <v>25</v>
      </c>
      <c r="X47">
        <v>1</v>
      </c>
      <c r="Y47" t="s">
        <v>370</v>
      </c>
    </row>
    <row r="48" spans="1:25" x14ac:dyDescent="0.4">
      <c r="A48" s="12">
        <v>45820.849305555559</v>
      </c>
      <c r="B48" s="10">
        <v>0.84930555555555554</v>
      </c>
      <c r="C48" s="10" t="s">
        <v>209</v>
      </c>
      <c r="D48" s="7" t="s">
        <v>372</v>
      </c>
      <c r="J48" s="20" t="s">
        <v>35</v>
      </c>
      <c r="O48">
        <v>1500</v>
      </c>
      <c r="V48" t="s">
        <v>26</v>
      </c>
      <c r="W48" t="s">
        <v>25</v>
      </c>
      <c r="X48">
        <v>1</v>
      </c>
      <c r="Y48" t="s">
        <v>373</v>
      </c>
    </row>
    <row r="49" spans="1:25" x14ac:dyDescent="0.4">
      <c r="A49" s="12">
        <v>45820.852777777778</v>
      </c>
      <c r="B49" s="10">
        <v>0.85277777777777775</v>
      </c>
      <c r="C49" s="10" t="s">
        <v>210</v>
      </c>
      <c r="D49" s="7" t="s">
        <v>73</v>
      </c>
      <c r="J49" s="20" t="s">
        <v>47</v>
      </c>
      <c r="L49">
        <v>1200</v>
      </c>
      <c r="M49">
        <v>1600</v>
      </c>
      <c r="N49">
        <v>3000</v>
      </c>
      <c r="O49">
        <v>1500</v>
      </c>
      <c r="V49" t="s">
        <v>26</v>
      </c>
      <c r="W49" t="s">
        <v>25</v>
      </c>
      <c r="X49">
        <v>1</v>
      </c>
      <c r="Y49" t="s">
        <v>153</v>
      </c>
    </row>
    <row r="50" spans="1:25" x14ac:dyDescent="0.4">
      <c r="A50" s="12">
        <v>45820.854861111111</v>
      </c>
      <c r="B50" s="10">
        <v>0.85486111111111107</v>
      </c>
      <c r="C50" s="10" t="s">
        <v>211</v>
      </c>
      <c r="D50" s="7" t="s">
        <v>74</v>
      </c>
      <c r="J50" s="20" t="s">
        <v>24</v>
      </c>
      <c r="K50">
        <v>1500</v>
      </c>
      <c r="L50">
        <v>1100</v>
      </c>
      <c r="M50">
        <v>1000</v>
      </c>
      <c r="N50">
        <v>2000</v>
      </c>
      <c r="P50">
        <v>1411</v>
      </c>
      <c r="V50" t="s">
        <v>26</v>
      </c>
      <c r="W50" t="s">
        <v>25</v>
      </c>
      <c r="X50">
        <v>1</v>
      </c>
      <c r="Y50" t="s">
        <v>154</v>
      </c>
    </row>
    <row r="51" spans="1:25" x14ac:dyDescent="0.4">
      <c r="A51" s="12">
        <v>45820.857638888891</v>
      </c>
      <c r="B51" s="10">
        <v>0.85763888888888884</v>
      </c>
      <c r="C51" s="10" t="s">
        <v>212</v>
      </c>
      <c r="D51" s="7" t="s">
        <v>387</v>
      </c>
      <c r="J51" s="20" t="s">
        <v>35</v>
      </c>
      <c r="O51">
        <v>1000</v>
      </c>
      <c r="V51" t="s">
        <v>26</v>
      </c>
      <c r="W51" t="s">
        <v>25</v>
      </c>
      <c r="X51">
        <v>1</v>
      </c>
      <c r="Y51" t="s">
        <v>386</v>
      </c>
    </row>
    <row r="52" spans="1:25" x14ac:dyDescent="0.4">
      <c r="A52" s="12">
        <v>45820.862500000003</v>
      </c>
      <c r="B52" s="10">
        <v>0.86250000000000004</v>
      </c>
      <c r="C52" s="10" t="s">
        <v>213</v>
      </c>
      <c r="D52" s="7" t="s">
        <v>75</v>
      </c>
      <c r="J52" s="20" t="s">
        <v>20</v>
      </c>
      <c r="K52">
        <v>1290</v>
      </c>
      <c r="L52">
        <v>749</v>
      </c>
      <c r="M52">
        <v>949</v>
      </c>
      <c r="N52">
        <v>1290</v>
      </c>
      <c r="O52">
        <v>1590</v>
      </c>
      <c r="P52">
        <v>1788</v>
      </c>
      <c r="Q52">
        <v>13500</v>
      </c>
      <c r="V52" t="s">
        <v>25</v>
      </c>
      <c r="W52" t="s">
        <v>25</v>
      </c>
      <c r="X52">
        <v>1</v>
      </c>
      <c r="Y52" t="s">
        <v>155</v>
      </c>
    </row>
    <row r="53" spans="1:25" x14ac:dyDescent="0.4">
      <c r="A53" s="12">
        <v>45820.862847222219</v>
      </c>
      <c r="B53" s="10">
        <v>0.86284722222222221</v>
      </c>
      <c r="C53" s="10" t="s">
        <v>214</v>
      </c>
      <c r="D53" s="7" t="s">
        <v>76</v>
      </c>
      <c r="J53" s="20" t="s">
        <v>21</v>
      </c>
      <c r="Q53">
        <v>5450</v>
      </c>
      <c r="V53" t="s">
        <v>25</v>
      </c>
      <c r="W53" t="s">
        <v>25</v>
      </c>
      <c r="X53">
        <v>1</v>
      </c>
      <c r="Y53" t="s">
        <v>156</v>
      </c>
    </row>
    <row r="54" spans="1:25" x14ac:dyDescent="0.4">
      <c r="A54" s="12">
        <v>45820.865972222222</v>
      </c>
      <c r="B54" s="10">
        <v>0.86597222222222225</v>
      </c>
      <c r="C54" s="10" t="s">
        <v>215</v>
      </c>
      <c r="D54" s="7" t="s">
        <v>77</v>
      </c>
      <c r="J54" s="20" t="s">
        <v>35</v>
      </c>
      <c r="O54">
        <v>1200</v>
      </c>
      <c r="V54" t="s">
        <v>26</v>
      </c>
      <c r="W54" t="s">
        <v>25</v>
      </c>
      <c r="X54">
        <v>1</v>
      </c>
      <c r="Y54" t="s">
        <v>157</v>
      </c>
    </row>
    <row r="55" spans="1:25" x14ac:dyDescent="0.4">
      <c r="A55" s="12">
        <v>45820.870138888888</v>
      </c>
      <c r="B55" s="10">
        <v>0.87013888888888891</v>
      </c>
      <c r="C55" s="10" t="s">
        <v>216</v>
      </c>
      <c r="D55" s="7" t="s">
        <v>368</v>
      </c>
      <c r="J55" s="20" t="s">
        <v>24</v>
      </c>
      <c r="K55">
        <v>2000</v>
      </c>
      <c r="L55">
        <v>1200</v>
      </c>
      <c r="M55">
        <v>1499</v>
      </c>
      <c r="N55">
        <v>2000</v>
      </c>
      <c r="P55">
        <v>1800</v>
      </c>
      <c r="V55" t="s">
        <v>26</v>
      </c>
      <c r="W55" t="s">
        <v>25</v>
      </c>
      <c r="X55">
        <v>1</v>
      </c>
      <c r="Y55" t="s">
        <v>369</v>
      </c>
    </row>
    <row r="56" spans="1:25" x14ac:dyDescent="0.4">
      <c r="A56" s="12">
        <v>45820.875694444447</v>
      </c>
      <c r="B56" s="10">
        <v>0.87569444444444444</v>
      </c>
      <c r="C56" s="10" t="s">
        <v>217</v>
      </c>
      <c r="D56" s="7" t="s">
        <v>78</v>
      </c>
      <c r="J56" s="20" t="s">
        <v>24</v>
      </c>
      <c r="K56">
        <v>2500</v>
      </c>
      <c r="L56">
        <v>1800</v>
      </c>
      <c r="M56">
        <v>1700</v>
      </c>
      <c r="N56">
        <v>2500</v>
      </c>
      <c r="V56" t="s">
        <v>26</v>
      </c>
      <c r="W56" t="s">
        <v>25</v>
      </c>
      <c r="X56">
        <v>1</v>
      </c>
      <c r="Y56" t="s">
        <v>158</v>
      </c>
    </row>
    <row r="57" spans="1:25" x14ac:dyDescent="0.4">
      <c r="A57" s="12">
        <v>45820.881249999999</v>
      </c>
      <c r="B57" s="10">
        <v>0.88124999999999998</v>
      </c>
      <c r="C57" s="10" t="s">
        <v>218</v>
      </c>
      <c r="D57" s="7" t="s">
        <v>79</v>
      </c>
      <c r="J57" s="20" t="s">
        <v>37</v>
      </c>
      <c r="K57">
        <v>1430</v>
      </c>
      <c r="L57">
        <v>540</v>
      </c>
      <c r="M57">
        <v>990</v>
      </c>
      <c r="N57">
        <v>1475</v>
      </c>
      <c r="O57">
        <v>590</v>
      </c>
      <c r="P57">
        <v>1600</v>
      </c>
      <c r="Q57">
        <v>12800</v>
      </c>
      <c r="V57" t="s">
        <v>25</v>
      </c>
      <c r="W57" t="s">
        <v>25</v>
      </c>
      <c r="X57">
        <v>1</v>
      </c>
      <c r="Y57" t="s">
        <v>159</v>
      </c>
    </row>
    <row r="58" spans="1:25" x14ac:dyDescent="0.4">
      <c r="A58" s="12">
        <v>45820.890277777777</v>
      </c>
      <c r="B58" s="10">
        <v>0.89027777777777772</v>
      </c>
      <c r="C58" s="10" t="s">
        <v>219</v>
      </c>
      <c r="D58" s="7" t="s">
        <v>80</v>
      </c>
      <c r="J58" s="20" t="s">
        <v>35</v>
      </c>
      <c r="O58">
        <v>1000</v>
      </c>
      <c r="V58" t="s">
        <v>26</v>
      </c>
      <c r="W58" t="s">
        <v>25</v>
      </c>
      <c r="X58">
        <v>1</v>
      </c>
      <c r="Y58" t="s">
        <v>160</v>
      </c>
    </row>
    <row r="59" spans="1:25" x14ac:dyDescent="0.4">
      <c r="A59" s="12">
        <v>45820.890972222223</v>
      </c>
      <c r="B59" s="10">
        <v>0.89097222222222228</v>
      </c>
      <c r="C59" s="10" t="s">
        <v>220</v>
      </c>
      <c r="D59" s="7" t="s">
        <v>81</v>
      </c>
      <c r="J59" s="20" t="s">
        <v>24</v>
      </c>
      <c r="K59">
        <v>1800</v>
      </c>
      <c r="L59">
        <v>1300</v>
      </c>
      <c r="M59">
        <v>1600</v>
      </c>
      <c r="N59">
        <v>2000</v>
      </c>
      <c r="P59">
        <v>1600</v>
      </c>
      <c r="V59" t="s">
        <v>26</v>
      </c>
      <c r="W59" t="s">
        <v>25</v>
      </c>
      <c r="X59">
        <v>1</v>
      </c>
      <c r="Y59" t="s">
        <v>161</v>
      </c>
    </row>
    <row r="60" spans="1:25" x14ac:dyDescent="0.4">
      <c r="A60" s="12">
        <v>45820.895138888889</v>
      </c>
      <c r="B60" s="10">
        <v>0.89513888888888893</v>
      </c>
      <c r="C60" s="10" t="s">
        <v>221</v>
      </c>
      <c r="D60" s="7" t="s">
        <v>82</v>
      </c>
      <c r="J60" s="20" t="s">
        <v>20</v>
      </c>
      <c r="K60">
        <v>1290</v>
      </c>
      <c r="L60">
        <v>749</v>
      </c>
      <c r="M60">
        <v>949</v>
      </c>
      <c r="N60">
        <v>1290</v>
      </c>
      <c r="O60">
        <v>1590</v>
      </c>
      <c r="P60">
        <v>1788</v>
      </c>
      <c r="Q60">
        <v>13500</v>
      </c>
      <c r="V60" t="s">
        <v>25</v>
      </c>
      <c r="W60" t="s">
        <v>25</v>
      </c>
      <c r="X60">
        <v>1</v>
      </c>
      <c r="Y60" t="s">
        <v>162</v>
      </c>
    </row>
    <row r="61" spans="1:25" x14ac:dyDescent="0.4">
      <c r="A61" s="12">
        <v>45820.897916666669</v>
      </c>
      <c r="B61" s="10">
        <v>0.8979166666666667</v>
      </c>
      <c r="C61" s="10" t="s">
        <v>222</v>
      </c>
      <c r="D61" s="7" t="s">
        <v>83</v>
      </c>
      <c r="J61" s="20" t="s">
        <v>60</v>
      </c>
      <c r="K61">
        <v>1290</v>
      </c>
      <c r="L61">
        <v>870</v>
      </c>
      <c r="M61">
        <v>1080</v>
      </c>
      <c r="N61">
        <v>1620</v>
      </c>
      <c r="O61">
        <v>869</v>
      </c>
      <c r="P61">
        <v>1059</v>
      </c>
      <c r="Q61">
        <v>5315</v>
      </c>
      <c r="V61" t="s">
        <v>25</v>
      </c>
      <c r="W61" t="s">
        <v>25</v>
      </c>
      <c r="X61">
        <v>1</v>
      </c>
      <c r="Y61" t="s">
        <v>102</v>
      </c>
    </row>
    <row r="62" spans="1:25" x14ac:dyDescent="0.4">
      <c r="A62" s="12">
        <v>45820.904166666667</v>
      </c>
      <c r="B62" s="10">
        <v>0.90416666666666667</v>
      </c>
      <c r="C62" s="10" t="s">
        <v>223</v>
      </c>
      <c r="D62" s="7" t="s">
        <v>84</v>
      </c>
      <c r="J62" s="20" t="s">
        <v>35</v>
      </c>
      <c r="O62">
        <v>800</v>
      </c>
      <c r="V62" t="s">
        <v>26</v>
      </c>
      <c r="W62" t="s">
        <v>25</v>
      </c>
      <c r="X62">
        <v>1</v>
      </c>
      <c r="Y62" t="s">
        <v>115</v>
      </c>
    </row>
    <row r="63" spans="1:25" x14ac:dyDescent="0.4">
      <c r="A63" s="12">
        <v>45820.904861111114</v>
      </c>
      <c r="B63" s="10">
        <v>0.90486111111111112</v>
      </c>
      <c r="C63" s="10" t="s">
        <v>224</v>
      </c>
      <c r="D63" s="7" t="s">
        <v>85</v>
      </c>
      <c r="J63" s="20" t="s">
        <v>66</v>
      </c>
      <c r="L63">
        <v>1400</v>
      </c>
      <c r="M63">
        <v>1500</v>
      </c>
      <c r="P63">
        <v>1700</v>
      </c>
      <c r="V63" t="s">
        <v>26</v>
      </c>
      <c r="W63" t="s">
        <v>25</v>
      </c>
      <c r="X63">
        <v>1</v>
      </c>
      <c r="Y63" t="s">
        <v>103</v>
      </c>
    </row>
    <row r="64" spans="1:25" x14ac:dyDescent="0.4">
      <c r="A64" s="12">
        <v>45820.906944444447</v>
      </c>
      <c r="B64" s="10">
        <v>0.90694444444444444</v>
      </c>
      <c r="C64" s="10" t="s">
        <v>225</v>
      </c>
      <c r="D64" s="7" t="s">
        <v>86</v>
      </c>
      <c r="J64" s="20" t="s">
        <v>87</v>
      </c>
      <c r="Q64">
        <v>8500</v>
      </c>
      <c r="V64" t="s">
        <v>26</v>
      </c>
      <c r="W64" t="s">
        <v>25</v>
      </c>
      <c r="X64">
        <v>1</v>
      </c>
      <c r="Y64" t="s">
        <v>104</v>
      </c>
    </row>
    <row r="65" spans="1:25" x14ac:dyDescent="0.4">
      <c r="A65" s="12">
        <v>45820.90729166667</v>
      </c>
      <c r="B65" s="10">
        <v>0.90729166666666672</v>
      </c>
      <c r="C65" s="10" t="s">
        <v>226</v>
      </c>
      <c r="D65" s="7" t="s">
        <v>88</v>
      </c>
      <c r="J65" s="20" t="s">
        <v>35</v>
      </c>
      <c r="O65">
        <v>700</v>
      </c>
      <c r="V65" t="s">
        <v>26</v>
      </c>
      <c r="W65" t="s">
        <v>25</v>
      </c>
      <c r="X65">
        <v>1</v>
      </c>
      <c r="Y65" t="s">
        <v>105</v>
      </c>
    </row>
    <row r="66" spans="1:25" x14ac:dyDescent="0.4">
      <c r="A66" s="12">
        <v>45820.907638888886</v>
      </c>
      <c r="B66" s="10">
        <v>0.90763888888888888</v>
      </c>
      <c r="C66" s="10" t="s">
        <v>227</v>
      </c>
      <c r="D66" s="7" t="s">
        <v>89</v>
      </c>
      <c r="J66" s="20" t="s">
        <v>87</v>
      </c>
      <c r="Q66">
        <v>17000</v>
      </c>
      <c r="V66" t="s">
        <v>26</v>
      </c>
      <c r="W66" t="s">
        <v>25</v>
      </c>
      <c r="X66">
        <v>1</v>
      </c>
      <c r="Y66" t="s">
        <v>106</v>
      </c>
    </row>
    <row r="67" spans="1:25" x14ac:dyDescent="0.4">
      <c r="A67" s="12">
        <v>45820.907986111109</v>
      </c>
      <c r="B67" s="10">
        <v>0.90798611111111116</v>
      </c>
      <c r="C67" s="10" t="s">
        <v>228</v>
      </c>
      <c r="D67" s="7" t="s">
        <v>90</v>
      </c>
      <c r="J67" s="20" t="s">
        <v>87</v>
      </c>
      <c r="Q67">
        <v>21000</v>
      </c>
      <c r="V67" t="s">
        <v>26</v>
      </c>
      <c r="W67" t="s">
        <v>25</v>
      </c>
      <c r="X67">
        <v>1</v>
      </c>
      <c r="Y67" t="s">
        <v>107</v>
      </c>
    </row>
    <row r="68" spans="1:25" x14ac:dyDescent="0.4">
      <c r="A68" s="12">
        <v>45820.908333333333</v>
      </c>
      <c r="B68" s="10">
        <v>0.90833333333333333</v>
      </c>
      <c r="C68" s="10" t="s">
        <v>229</v>
      </c>
      <c r="D68" s="7" t="s">
        <v>91</v>
      </c>
      <c r="J68" s="20" t="s">
        <v>35</v>
      </c>
      <c r="O68">
        <v>4000</v>
      </c>
      <c r="V68" t="s">
        <v>26</v>
      </c>
      <c r="W68" t="s">
        <v>25</v>
      </c>
      <c r="X68">
        <v>1</v>
      </c>
      <c r="Y68" t="s">
        <v>108</v>
      </c>
    </row>
    <row r="69" spans="1:25" x14ac:dyDescent="0.4">
      <c r="A69" s="12">
        <v>45820.90902777778</v>
      </c>
      <c r="B69" s="10">
        <v>0.90902777777777777</v>
      </c>
      <c r="C69" s="10" t="s">
        <v>230</v>
      </c>
      <c r="D69" s="7" t="s">
        <v>92</v>
      </c>
      <c r="J69" s="20" t="s">
        <v>35</v>
      </c>
      <c r="O69">
        <v>2000</v>
      </c>
      <c r="V69" t="s">
        <v>26</v>
      </c>
      <c r="W69" t="s">
        <v>25</v>
      </c>
      <c r="X69">
        <v>1</v>
      </c>
      <c r="Y69" t="s">
        <v>109</v>
      </c>
    </row>
    <row r="70" spans="1:25" x14ac:dyDescent="0.4">
      <c r="A70" s="12">
        <v>45820.910416666666</v>
      </c>
      <c r="B70" s="10">
        <v>0.91041666666666665</v>
      </c>
      <c r="C70" s="10" t="s">
        <v>231</v>
      </c>
      <c r="D70" s="7" t="s">
        <v>93</v>
      </c>
      <c r="J70" s="20" t="s">
        <v>21</v>
      </c>
      <c r="Q70">
        <v>5450</v>
      </c>
      <c r="V70" t="s">
        <v>25</v>
      </c>
      <c r="W70" t="s">
        <v>25</v>
      </c>
      <c r="X70">
        <v>1</v>
      </c>
      <c r="Y70" t="s">
        <v>110</v>
      </c>
    </row>
    <row r="71" spans="1:25" x14ac:dyDescent="0.4">
      <c r="A71" s="12">
        <v>45820.912499999999</v>
      </c>
      <c r="B71" s="10">
        <v>0.91249999999999998</v>
      </c>
      <c r="C71" s="10" t="s">
        <v>232</v>
      </c>
      <c r="D71" s="7" t="s">
        <v>94</v>
      </c>
      <c r="J71" s="20" t="s">
        <v>66</v>
      </c>
      <c r="P71">
        <v>725</v>
      </c>
      <c r="V71" t="s">
        <v>26</v>
      </c>
      <c r="W71" t="s">
        <v>25</v>
      </c>
      <c r="X71">
        <v>1</v>
      </c>
      <c r="Y71" t="s">
        <v>111</v>
      </c>
    </row>
    <row r="72" spans="1:25" x14ac:dyDescent="0.4">
      <c r="A72" s="12">
        <v>45820.92291666667</v>
      </c>
      <c r="B72" s="10">
        <v>0.92291666666666672</v>
      </c>
      <c r="C72" s="10" t="s">
        <v>233</v>
      </c>
      <c r="D72" s="7" t="s">
        <v>95</v>
      </c>
      <c r="J72" s="20" t="s">
        <v>47</v>
      </c>
      <c r="K72">
        <v>1600</v>
      </c>
      <c r="L72">
        <v>1381</v>
      </c>
      <c r="M72">
        <v>1350</v>
      </c>
      <c r="N72">
        <v>1400</v>
      </c>
      <c r="P72">
        <v>1399</v>
      </c>
      <c r="V72" t="s">
        <v>26</v>
      </c>
      <c r="W72" t="s">
        <v>25</v>
      </c>
      <c r="X72">
        <v>1</v>
      </c>
      <c r="Y72" t="s">
        <v>112</v>
      </c>
    </row>
    <row r="73" spans="1:25" x14ac:dyDescent="0.4">
      <c r="A73" s="12">
        <v>45820.925694444442</v>
      </c>
      <c r="B73" s="10">
        <v>0.92569444444444449</v>
      </c>
      <c r="C73" s="10" t="s">
        <v>234</v>
      </c>
      <c r="D73" s="7" t="s">
        <v>96</v>
      </c>
      <c r="J73" s="20" t="s">
        <v>35</v>
      </c>
      <c r="O73">
        <v>725</v>
      </c>
      <c r="V73" t="s">
        <v>26</v>
      </c>
      <c r="W73" t="s">
        <v>25</v>
      </c>
      <c r="X73">
        <v>1</v>
      </c>
      <c r="Y73" t="s">
        <v>240</v>
      </c>
    </row>
    <row r="74" spans="1:25" x14ac:dyDescent="0.4">
      <c r="A74" s="12">
        <v>45820.926388888889</v>
      </c>
      <c r="B74" s="10">
        <v>0.92638888888888893</v>
      </c>
      <c r="C74" s="10" t="s">
        <v>235</v>
      </c>
      <c r="D74" s="7" t="s">
        <v>97</v>
      </c>
      <c r="J74" s="20" t="s">
        <v>35</v>
      </c>
      <c r="O74">
        <v>725</v>
      </c>
      <c r="V74" t="s">
        <v>26</v>
      </c>
      <c r="W74" t="s">
        <v>25</v>
      </c>
      <c r="X74">
        <v>1</v>
      </c>
      <c r="Y74" t="s">
        <v>113</v>
      </c>
    </row>
    <row r="75" spans="1:25" x14ac:dyDescent="0.4">
      <c r="A75" s="12">
        <v>45820.927083333336</v>
      </c>
      <c r="B75" s="10">
        <v>0.92708333333333337</v>
      </c>
      <c r="C75" s="10" t="s">
        <v>236</v>
      </c>
      <c r="D75" s="7" t="s">
        <v>375</v>
      </c>
      <c r="J75" s="20" t="s">
        <v>20</v>
      </c>
      <c r="K75">
        <v>1290</v>
      </c>
      <c r="L75">
        <v>749</v>
      </c>
      <c r="M75">
        <v>949</v>
      </c>
      <c r="N75">
        <v>1290</v>
      </c>
      <c r="O75">
        <v>1590</v>
      </c>
      <c r="P75">
        <v>1788</v>
      </c>
      <c r="Q75">
        <v>13500</v>
      </c>
      <c r="V75" t="s">
        <v>25</v>
      </c>
      <c r="W75" t="s">
        <v>25</v>
      </c>
      <c r="X75">
        <v>1</v>
      </c>
      <c r="Y75" t="s">
        <v>374</v>
      </c>
    </row>
    <row r="76" spans="1:25" x14ac:dyDescent="0.4">
      <c r="A76" s="12">
        <v>45820.929166666669</v>
      </c>
      <c r="B76" s="10">
        <v>0.9291666666666667</v>
      </c>
      <c r="C76" s="10" t="s">
        <v>237</v>
      </c>
      <c r="D76" s="7" t="s">
        <v>98</v>
      </c>
      <c r="J76" s="20" t="s">
        <v>24</v>
      </c>
      <c r="K76">
        <v>2200</v>
      </c>
      <c r="L76">
        <v>1000</v>
      </c>
      <c r="M76">
        <v>1400</v>
      </c>
      <c r="N76">
        <v>2300</v>
      </c>
      <c r="O76">
        <v>1500</v>
      </c>
      <c r="P76">
        <v>2700</v>
      </c>
      <c r="V76" t="s">
        <v>26</v>
      </c>
      <c r="W76" t="s">
        <v>25</v>
      </c>
      <c r="X76">
        <v>1</v>
      </c>
      <c r="Y76" t="s">
        <v>114</v>
      </c>
    </row>
    <row r="77" spans="1:25" s="15" customFormat="1" x14ac:dyDescent="0.4">
      <c r="A77" s="14"/>
      <c r="D77" s="16"/>
      <c r="J77" s="20"/>
      <c r="K77" s="15" t="s">
        <v>5</v>
      </c>
      <c r="L77" s="15" t="s">
        <v>244</v>
      </c>
      <c r="M77" s="15" t="s">
        <v>6</v>
      </c>
      <c r="N77" s="15" t="s">
        <v>7</v>
      </c>
      <c r="O77" s="15" t="s">
        <v>8</v>
      </c>
      <c r="P77" s="15" t="s">
        <v>9</v>
      </c>
      <c r="Q77" s="15" t="s">
        <v>10</v>
      </c>
    </row>
    <row r="78" spans="1:25" x14ac:dyDescent="0.4">
      <c r="A78" s="12">
        <v>46002</v>
      </c>
      <c r="B78" s="17">
        <v>0.69861111111111107</v>
      </c>
      <c r="C78" s="10" t="s">
        <v>335</v>
      </c>
      <c r="D78" s="8" t="s">
        <v>377</v>
      </c>
      <c r="J78" s="20" t="s">
        <v>35</v>
      </c>
      <c r="O78">
        <v>1200</v>
      </c>
      <c r="V78" t="s">
        <v>26</v>
      </c>
      <c r="W78" t="s">
        <v>25</v>
      </c>
      <c r="X78">
        <v>2</v>
      </c>
      <c r="Y78" t="s">
        <v>376</v>
      </c>
    </row>
    <row r="79" spans="1:25" x14ac:dyDescent="0.4">
      <c r="A79" s="12">
        <v>46002</v>
      </c>
      <c r="B79" s="17">
        <v>0.7</v>
      </c>
      <c r="C79" s="10" t="s">
        <v>336</v>
      </c>
      <c r="D79" s="8" t="s">
        <v>247</v>
      </c>
      <c r="J79" s="20" t="s">
        <v>24</v>
      </c>
      <c r="K79">
        <v>1500</v>
      </c>
      <c r="L79">
        <v>1200</v>
      </c>
      <c r="M79">
        <v>1500</v>
      </c>
      <c r="N79">
        <v>1500</v>
      </c>
      <c r="P79">
        <v>1800</v>
      </c>
      <c r="V79" t="s">
        <v>26</v>
      </c>
      <c r="W79" t="s">
        <v>25</v>
      </c>
      <c r="X79">
        <v>2</v>
      </c>
      <c r="Y79" t="s">
        <v>306</v>
      </c>
    </row>
    <row r="80" spans="1:25" x14ac:dyDescent="0.4">
      <c r="A80" s="12">
        <v>46002</v>
      </c>
      <c r="B80" s="17">
        <v>0.70277777777777772</v>
      </c>
      <c r="C80" s="10" t="s">
        <v>337</v>
      </c>
      <c r="D80" s="8" t="s">
        <v>248</v>
      </c>
      <c r="J80" s="20" t="s">
        <v>21</v>
      </c>
      <c r="Q80">
        <v>13900</v>
      </c>
      <c r="V80" t="s">
        <v>25</v>
      </c>
      <c r="W80" t="s">
        <v>25</v>
      </c>
      <c r="X80">
        <v>2</v>
      </c>
      <c r="Y80" t="s">
        <v>307</v>
      </c>
    </row>
    <row r="81" spans="1:25" x14ac:dyDescent="0.4">
      <c r="A81" s="12">
        <v>46002</v>
      </c>
      <c r="B81" s="17">
        <v>0.70972222222222225</v>
      </c>
      <c r="C81" s="10" t="s">
        <v>338</v>
      </c>
      <c r="D81" s="8" t="s">
        <v>250</v>
      </c>
      <c r="J81" s="20" t="s">
        <v>66</v>
      </c>
      <c r="P81">
        <v>3000</v>
      </c>
      <c r="V81" t="s">
        <v>26</v>
      </c>
      <c r="W81" t="s">
        <v>25</v>
      </c>
      <c r="X81">
        <v>2</v>
      </c>
      <c r="Y81" t="s">
        <v>308</v>
      </c>
    </row>
    <row r="82" spans="1:25" x14ac:dyDescent="0.4">
      <c r="A82" s="12">
        <v>46002</v>
      </c>
      <c r="B82" s="17">
        <v>0.71180555555555558</v>
      </c>
      <c r="C82" s="10" t="s">
        <v>339</v>
      </c>
      <c r="D82" s="8" t="s">
        <v>252</v>
      </c>
      <c r="J82" s="20" t="s">
        <v>35</v>
      </c>
      <c r="O82">
        <v>1000</v>
      </c>
      <c r="V82" t="s">
        <v>26</v>
      </c>
      <c r="W82" t="s">
        <v>25</v>
      </c>
      <c r="X82">
        <v>2</v>
      </c>
      <c r="Y82" t="s">
        <v>309</v>
      </c>
    </row>
    <row r="83" spans="1:25" x14ac:dyDescent="0.4">
      <c r="A83" s="12">
        <v>46002</v>
      </c>
      <c r="B83" s="17">
        <v>0.71319444444444446</v>
      </c>
      <c r="C83" s="10" t="s">
        <v>340</v>
      </c>
      <c r="D83" s="8" t="s">
        <v>254</v>
      </c>
      <c r="J83" s="20" t="s">
        <v>35</v>
      </c>
      <c r="O83">
        <f>1500/2</f>
        <v>750</v>
      </c>
      <c r="V83" t="s">
        <v>26</v>
      </c>
      <c r="W83" t="s">
        <v>25</v>
      </c>
      <c r="X83">
        <v>2</v>
      </c>
      <c r="Y83" t="s">
        <v>310</v>
      </c>
    </row>
    <row r="84" spans="1:25" x14ac:dyDescent="0.4">
      <c r="A84" s="12">
        <v>46002</v>
      </c>
      <c r="B84" s="17">
        <v>0.71527777777777779</v>
      </c>
      <c r="C84" s="10" t="s">
        <v>341</v>
      </c>
      <c r="D84" s="8" t="s">
        <v>256</v>
      </c>
      <c r="J84" s="20" t="s">
        <v>24</v>
      </c>
      <c r="K84">
        <v>1600</v>
      </c>
      <c r="L84">
        <v>1050</v>
      </c>
      <c r="M84">
        <v>1550</v>
      </c>
      <c r="N84">
        <v>1600</v>
      </c>
      <c r="P84">
        <f>14000/10</f>
        <v>1400</v>
      </c>
      <c r="V84" t="s">
        <v>26</v>
      </c>
      <c r="W84" t="s">
        <v>25</v>
      </c>
      <c r="X84">
        <v>2</v>
      </c>
      <c r="Y84" t="s">
        <v>311</v>
      </c>
    </row>
    <row r="85" spans="1:25" x14ac:dyDescent="0.4">
      <c r="A85" s="12">
        <v>46002</v>
      </c>
      <c r="B85" s="17">
        <v>0.71875</v>
      </c>
      <c r="C85" s="10" t="s">
        <v>342</v>
      </c>
      <c r="D85" s="8" t="s">
        <v>258</v>
      </c>
      <c r="J85" s="20" t="s">
        <v>21</v>
      </c>
      <c r="Q85">
        <v>13900</v>
      </c>
      <c r="V85" t="s">
        <v>25</v>
      </c>
      <c r="W85" t="s">
        <v>25</v>
      </c>
      <c r="X85">
        <v>2</v>
      </c>
      <c r="Y85" t="s">
        <v>312</v>
      </c>
    </row>
    <row r="86" spans="1:25" x14ac:dyDescent="0.4">
      <c r="A86" s="12">
        <v>46002</v>
      </c>
      <c r="B86" s="17">
        <v>0.72152777777777777</v>
      </c>
      <c r="C86" s="10" t="s">
        <v>343</v>
      </c>
      <c r="D86" s="8" t="s">
        <v>261</v>
      </c>
      <c r="J86" s="20" t="s">
        <v>20</v>
      </c>
      <c r="K86">
        <v>1190</v>
      </c>
      <c r="L86">
        <v>975</v>
      </c>
      <c r="M86">
        <v>999</v>
      </c>
      <c r="N86">
        <v>1190</v>
      </c>
      <c r="O86">
        <v>1500</v>
      </c>
      <c r="P86">
        <f>3300/3*2</f>
        <v>2200</v>
      </c>
      <c r="Q86">
        <v>13990</v>
      </c>
      <c r="V86" t="s">
        <v>25</v>
      </c>
      <c r="W86" t="s">
        <v>25</v>
      </c>
      <c r="X86">
        <v>2</v>
      </c>
      <c r="Y86" t="s">
        <v>313</v>
      </c>
    </row>
    <row r="87" spans="1:25" x14ac:dyDescent="0.4">
      <c r="A87" s="12">
        <v>46002</v>
      </c>
      <c r="B87" s="17">
        <v>0.73750000000000004</v>
      </c>
      <c r="C87" s="10" t="s">
        <v>344</v>
      </c>
      <c r="D87" s="8" t="s">
        <v>263</v>
      </c>
      <c r="J87" s="20" t="s">
        <v>35</v>
      </c>
      <c r="O87">
        <v>1000</v>
      </c>
      <c r="V87" t="s">
        <v>26</v>
      </c>
      <c r="W87" t="s">
        <v>25</v>
      </c>
      <c r="X87">
        <v>2</v>
      </c>
      <c r="Y87" t="s">
        <v>314</v>
      </c>
    </row>
    <row r="88" spans="1:25" x14ac:dyDescent="0.4">
      <c r="A88" s="12">
        <v>46002</v>
      </c>
      <c r="B88" s="17">
        <v>0.73819444444444449</v>
      </c>
      <c r="C88" s="10" t="s">
        <v>345</v>
      </c>
      <c r="D88" s="8" t="s">
        <v>265</v>
      </c>
      <c r="J88" s="20" t="s">
        <v>24</v>
      </c>
      <c r="K88">
        <v>1900</v>
      </c>
      <c r="L88">
        <v>1200</v>
      </c>
      <c r="M88">
        <v>1800</v>
      </c>
      <c r="N88">
        <v>3000</v>
      </c>
      <c r="Q88">
        <v>10000</v>
      </c>
      <c r="V88" t="s">
        <v>26</v>
      </c>
      <c r="W88" t="s">
        <v>25</v>
      </c>
      <c r="X88">
        <v>2</v>
      </c>
      <c r="Y88" t="s">
        <v>315</v>
      </c>
    </row>
    <row r="89" spans="1:25" x14ac:dyDescent="0.4">
      <c r="A89" s="12">
        <v>46002</v>
      </c>
      <c r="B89" s="17">
        <v>0.74097222222222225</v>
      </c>
      <c r="C89" s="10" t="s">
        <v>346</v>
      </c>
      <c r="D89" s="8" t="s">
        <v>267</v>
      </c>
      <c r="J89" s="20" t="s">
        <v>69</v>
      </c>
      <c r="K89">
        <v>1190</v>
      </c>
      <c r="L89">
        <v>975</v>
      </c>
      <c r="M89">
        <v>999</v>
      </c>
      <c r="N89">
        <v>1190</v>
      </c>
      <c r="O89">
        <v>1500</v>
      </c>
      <c r="P89">
        <f>3300/3*2</f>
        <v>2200</v>
      </c>
      <c r="Q89">
        <v>13990</v>
      </c>
      <c r="V89" t="s">
        <v>25</v>
      </c>
      <c r="W89" t="s">
        <v>25</v>
      </c>
      <c r="X89">
        <v>2</v>
      </c>
      <c r="Y89" t="s">
        <v>316</v>
      </c>
    </row>
    <row r="90" spans="1:25" x14ac:dyDescent="0.4">
      <c r="A90" s="12">
        <v>46002</v>
      </c>
      <c r="B90" s="17">
        <v>0.75</v>
      </c>
      <c r="C90" s="10" t="s">
        <v>347</v>
      </c>
      <c r="D90" s="8" t="s">
        <v>269</v>
      </c>
      <c r="J90" s="20" t="s">
        <v>47</v>
      </c>
      <c r="K90">
        <v>2900</v>
      </c>
      <c r="L90">
        <v>1300</v>
      </c>
      <c r="M90">
        <v>2000</v>
      </c>
      <c r="N90">
        <v>5200</v>
      </c>
      <c r="V90" t="s">
        <v>26</v>
      </c>
      <c r="W90" t="s">
        <v>25</v>
      </c>
      <c r="X90">
        <v>2</v>
      </c>
      <c r="Y90" t="s">
        <v>317</v>
      </c>
    </row>
    <row r="91" spans="1:25" x14ac:dyDescent="0.4">
      <c r="A91" s="12">
        <v>46002</v>
      </c>
      <c r="B91" s="17">
        <v>0.76111111111111107</v>
      </c>
      <c r="C91" s="10" t="s">
        <v>348</v>
      </c>
      <c r="D91" s="8" t="s">
        <v>271</v>
      </c>
      <c r="J91" s="20" t="s">
        <v>47</v>
      </c>
      <c r="K91">
        <v>2200</v>
      </c>
      <c r="L91">
        <v>2200</v>
      </c>
      <c r="M91">
        <v>2000</v>
      </c>
      <c r="O91">
        <v>2000</v>
      </c>
      <c r="V91" t="s">
        <v>26</v>
      </c>
      <c r="W91" t="s">
        <v>25</v>
      </c>
      <c r="X91">
        <v>2</v>
      </c>
      <c r="Y91" t="s">
        <v>318</v>
      </c>
    </row>
    <row r="92" spans="1:25" x14ac:dyDescent="0.4">
      <c r="A92" s="12">
        <v>46002</v>
      </c>
      <c r="B92" s="17">
        <v>0.7631944444444444</v>
      </c>
      <c r="C92" s="10" t="s">
        <v>349</v>
      </c>
      <c r="D92" s="8" t="s">
        <v>273</v>
      </c>
      <c r="J92" s="20" t="s">
        <v>24</v>
      </c>
      <c r="K92">
        <v>1900</v>
      </c>
      <c r="L92">
        <v>1300</v>
      </c>
      <c r="M92">
        <v>1500</v>
      </c>
      <c r="N92">
        <v>2800</v>
      </c>
      <c r="O92">
        <v>1500</v>
      </c>
      <c r="P92">
        <v>1500</v>
      </c>
      <c r="V92" t="s">
        <v>26</v>
      </c>
      <c r="W92" t="s">
        <v>25</v>
      </c>
      <c r="X92">
        <v>2</v>
      </c>
      <c r="Y92" t="s">
        <v>319</v>
      </c>
    </row>
    <row r="93" spans="1:25" x14ac:dyDescent="0.4">
      <c r="A93" s="12">
        <v>46002</v>
      </c>
      <c r="B93" s="17">
        <v>0.77638888888888891</v>
      </c>
      <c r="C93" s="10" t="s">
        <v>350</v>
      </c>
      <c r="D93" s="8" t="s">
        <v>275</v>
      </c>
      <c r="J93" s="20" t="s">
        <v>24</v>
      </c>
      <c r="K93">
        <v>2300</v>
      </c>
      <c r="L93">
        <v>2300</v>
      </c>
      <c r="M93">
        <v>2000</v>
      </c>
      <c r="N93">
        <v>5000</v>
      </c>
      <c r="P93">
        <f>23000/10</f>
        <v>2300</v>
      </c>
      <c r="V93" t="s">
        <v>26</v>
      </c>
      <c r="W93" t="s">
        <v>25</v>
      </c>
      <c r="X93">
        <v>2</v>
      </c>
      <c r="Y93" t="s">
        <v>320</v>
      </c>
    </row>
    <row r="94" spans="1:25" x14ac:dyDescent="0.4">
      <c r="A94" s="12">
        <v>46002</v>
      </c>
      <c r="B94" s="17">
        <v>0.77986111111111112</v>
      </c>
      <c r="C94" s="10" t="s">
        <v>351</v>
      </c>
      <c r="D94" s="8" t="s">
        <v>277</v>
      </c>
      <c r="J94" s="20" t="s">
        <v>47</v>
      </c>
      <c r="M94">
        <v>1600</v>
      </c>
      <c r="N94">
        <v>4000</v>
      </c>
      <c r="O94">
        <v>1500</v>
      </c>
      <c r="V94" t="s">
        <v>26</v>
      </c>
      <c r="W94" t="s">
        <v>25</v>
      </c>
      <c r="X94">
        <v>2</v>
      </c>
      <c r="Y94" t="s">
        <v>321</v>
      </c>
    </row>
    <row r="95" spans="1:25" x14ac:dyDescent="0.4">
      <c r="A95" s="12">
        <v>46002</v>
      </c>
      <c r="B95" s="17">
        <v>0.78472222222222221</v>
      </c>
      <c r="C95" s="10" t="s">
        <v>352</v>
      </c>
      <c r="D95" s="8" t="s">
        <v>279</v>
      </c>
      <c r="J95" s="20" t="s">
        <v>66</v>
      </c>
      <c r="P95">
        <f>1500/2</f>
        <v>750</v>
      </c>
      <c r="V95" t="s">
        <v>26</v>
      </c>
      <c r="W95" t="s">
        <v>25</v>
      </c>
      <c r="X95">
        <v>2</v>
      </c>
      <c r="Y95" t="s">
        <v>322</v>
      </c>
    </row>
    <row r="96" spans="1:25" x14ac:dyDescent="0.4">
      <c r="A96" s="12">
        <v>46002</v>
      </c>
      <c r="B96" s="17">
        <v>0.78680555555555554</v>
      </c>
      <c r="C96" s="10" t="s">
        <v>353</v>
      </c>
      <c r="D96" s="8" t="s">
        <v>281</v>
      </c>
      <c r="J96" s="20" t="s">
        <v>21</v>
      </c>
      <c r="Q96">
        <v>13900</v>
      </c>
      <c r="V96" t="s">
        <v>25</v>
      </c>
      <c r="W96" t="s">
        <v>25</v>
      </c>
      <c r="X96">
        <v>2</v>
      </c>
      <c r="Y96" t="s">
        <v>323</v>
      </c>
    </row>
    <row r="97" spans="1:25" x14ac:dyDescent="0.4">
      <c r="A97" s="12">
        <v>46002</v>
      </c>
      <c r="B97" s="17">
        <v>0.79027777777777775</v>
      </c>
      <c r="C97" s="10" t="s">
        <v>354</v>
      </c>
      <c r="D97" s="8" t="s">
        <v>283</v>
      </c>
      <c r="J97" s="20" t="s">
        <v>20</v>
      </c>
      <c r="K97">
        <v>1190</v>
      </c>
      <c r="L97">
        <v>975</v>
      </c>
      <c r="M97">
        <v>999</v>
      </c>
      <c r="N97">
        <v>1190</v>
      </c>
      <c r="O97">
        <v>1500</v>
      </c>
      <c r="P97">
        <f>3300/3*2</f>
        <v>2200</v>
      </c>
      <c r="Q97">
        <v>13990</v>
      </c>
      <c r="V97" t="s">
        <v>25</v>
      </c>
      <c r="W97" t="s">
        <v>25</v>
      </c>
      <c r="X97">
        <v>2</v>
      </c>
      <c r="Y97" t="s">
        <v>324</v>
      </c>
    </row>
    <row r="98" spans="1:25" x14ac:dyDescent="0.4">
      <c r="A98" s="12">
        <v>46002</v>
      </c>
      <c r="B98" s="17">
        <v>0.8</v>
      </c>
      <c r="C98" s="10" t="s">
        <v>355</v>
      </c>
      <c r="D98" s="8" t="s">
        <v>285</v>
      </c>
      <c r="J98" s="20" t="s">
        <v>47</v>
      </c>
      <c r="L98">
        <v>900</v>
      </c>
      <c r="M98">
        <v>1800</v>
      </c>
      <c r="O98">
        <v>1500</v>
      </c>
      <c r="V98" t="s">
        <v>26</v>
      </c>
      <c r="W98" t="s">
        <v>25</v>
      </c>
      <c r="X98">
        <v>2</v>
      </c>
      <c r="Y98" t="s">
        <v>325</v>
      </c>
    </row>
    <row r="99" spans="1:25" x14ac:dyDescent="0.4">
      <c r="A99" s="12">
        <v>46002</v>
      </c>
      <c r="B99" s="17">
        <v>0.80138888888888893</v>
      </c>
      <c r="C99" s="10" t="s">
        <v>356</v>
      </c>
      <c r="D99" s="8" t="s">
        <v>287</v>
      </c>
      <c r="J99" s="20" t="s">
        <v>35</v>
      </c>
      <c r="O99">
        <v>2000</v>
      </c>
      <c r="V99" t="s">
        <v>26</v>
      </c>
      <c r="W99" t="s">
        <v>25</v>
      </c>
      <c r="X99">
        <v>2</v>
      </c>
      <c r="Y99" t="s">
        <v>326</v>
      </c>
    </row>
    <row r="100" spans="1:25" x14ac:dyDescent="0.4">
      <c r="A100" s="12">
        <v>46002</v>
      </c>
      <c r="B100" s="17">
        <v>0.80972222222222223</v>
      </c>
      <c r="C100" s="10" t="s">
        <v>357</v>
      </c>
      <c r="D100" s="8" t="s">
        <v>289</v>
      </c>
      <c r="J100" s="20" t="s">
        <v>24</v>
      </c>
      <c r="L100">
        <v>1300</v>
      </c>
      <c r="M100">
        <v>1500</v>
      </c>
      <c r="V100" t="s">
        <v>26</v>
      </c>
      <c r="W100" t="s">
        <v>25</v>
      </c>
      <c r="X100">
        <v>2</v>
      </c>
      <c r="Y100" t="s">
        <v>327</v>
      </c>
    </row>
    <row r="101" spans="1:25" x14ac:dyDescent="0.4">
      <c r="A101" s="12">
        <v>46002</v>
      </c>
      <c r="B101" s="17">
        <v>0.81666666666666665</v>
      </c>
      <c r="C101" s="10" t="s">
        <v>358</v>
      </c>
      <c r="D101" s="8" t="s">
        <v>290</v>
      </c>
      <c r="J101" s="20" t="s">
        <v>24</v>
      </c>
      <c r="K101">
        <v>1900</v>
      </c>
      <c r="L101">
        <v>1300</v>
      </c>
      <c r="M101">
        <v>1200</v>
      </c>
      <c r="N101">
        <v>1400</v>
      </c>
      <c r="P101">
        <f>3700/2.5</f>
        <v>1480</v>
      </c>
      <c r="V101" t="s">
        <v>26</v>
      </c>
      <c r="W101" t="s">
        <v>25</v>
      </c>
      <c r="X101">
        <v>2</v>
      </c>
      <c r="Y101" t="s">
        <v>327</v>
      </c>
    </row>
    <row r="102" spans="1:25" x14ac:dyDescent="0.4">
      <c r="A102" s="12">
        <v>46002</v>
      </c>
      <c r="B102" s="17">
        <v>0.82222222222222219</v>
      </c>
      <c r="C102" s="10" t="s">
        <v>359</v>
      </c>
      <c r="D102" s="8" t="s">
        <v>292</v>
      </c>
      <c r="J102" s="20" t="s">
        <v>21</v>
      </c>
      <c r="Q102">
        <v>13900</v>
      </c>
      <c r="V102" t="s">
        <v>25</v>
      </c>
      <c r="W102" t="s">
        <v>25</v>
      </c>
      <c r="X102">
        <v>2</v>
      </c>
      <c r="Y102" t="s">
        <v>328</v>
      </c>
    </row>
    <row r="103" spans="1:25" x14ac:dyDescent="0.4">
      <c r="A103" s="12">
        <v>46002</v>
      </c>
      <c r="B103" s="17">
        <v>0.82708333333333328</v>
      </c>
      <c r="C103" s="10" t="s">
        <v>360</v>
      </c>
      <c r="D103" s="8" t="s">
        <v>294</v>
      </c>
      <c r="J103" s="20" t="s">
        <v>24</v>
      </c>
      <c r="K103">
        <v>1600</v>
      </c>
      <c r="L103">
        <v>1400</v>
      </c>
      <c r="M103">
        <v>1600</v>
      </c>
      <c r="N103">
        <v>2300</v>
      </c>
      <c r="O103">
        <v>1000</v>
      </c>
      <c r="P103">
        <f>4000/2.5</f>
        <v>1600</v>
      </c>
      <c r="V103" t="s">
        <v>26</v>
      </c>
      <c r="W103" t="s">
        <v>25</v>
      </c>
      <c r="X103">
        <v>2</v>
      </c>
      <c r="Y103" t="s">
        <v>329</v>
      </c>
    </row>
    <row r="104" spans="1:25" x14ac:dyDescent="0.4">
      <c r="A104" s="12">
        <v>46002</v>
      </c>
      <c r="B104" s="17">
        <v>0.83819444444444446</v>
      </c>
      <c r="C104" s="10" t="s">
        <v>361</v>
      </c>
      <c r="D104" s="8" t="s">
        <v>296</v>
      </c>
      <c r="J104" s="20" t="s">
        <v>35</v>
      </c>
      <c r="L104">
        <v>3000</v>
      </c>
      <c r="O104">
        <v>1500</v>
      </c>
      <c r="V104" t="s">
        <v>26</v>
      </c>
      <c r="W104" t="s">
        <v>25</v>
      </c>
      <c r="X104">
        <v>2</v>
      </c>
      <c r="Y104" t="s">
        <v>330</v>
      </c>
    </row>
    <row r="105" spans="1:25" x14ac:dyDescent="0.4">
      <c r="A105" s="12">
        <v>46002</v>
      </c>
      <c r="B105" s="17">
        <v>0.84027777777777779</v>
      </c>
      <c r="C105" s="10" t="s">
        <v>362</v>
      </c>
      <c r="D105" s="8" t="s">
        <v>298</v>
      </c>
      <c r="J105" s="20" t="s">
        <v>47</v>
      </c>
      <c r="K105">
        <v>2200</v>
      </c>
      <c r="L105">
        <v>2500</v>
      </c>
      <c r="M105">
        <v>2500</v>
      </c>
      <c r="N105">
        <v>3000</v>
      </c>
      <c r="O105">
        <v>1500</v>
      </c>
      <c r="V105" t="s">
        <v>26</v>
      </c>
      <c r="W105" t="s">
        <v>25</v>
      </c>
      <c r="X105">
        <v>2</v>
      </c>
      <c r="Y105" t="s">
        <v>331</v>
      </c>
    </row>
    <row r="106" spans="1:25" x14ac:dyDescent="0.4">
      <c r="A106" s="12">
        <v>46002</v>
      </c>
      <c r="B106" s="17">
        <v>0.84375</v>
      </c>
      <c r="C106" s="10" t="s">
        <v>363</v>
      </c>
      <c r="D106" s="8" t="s">
        <v>300</v>
      </c>
      <c r="J106" s="20" t="s">
        <v>35</v>
      </c>
      <c r="O106">
        <v>1500</v>
      </c>
      <c r="V106" t="s">
        <v>26</v>
      </c>
      <c r="W106" t="s">
        <v>25</v>
      </c>
      <c r="X106">
        <v>2</v>
      </c>
      <c r="Y106" t="s">
        <v>332</v>
      </c>
    </row>
    <row r="107" spans="1:25" x14ac:dyDescent="0.4">
      <c r="A107" s="12">
        <v>46002</v>
      </c>
      <c r="B107" s="17">
        <v>0.85069444444444442</v>
      </c>
      <c r="C107" s="10" t="s">
        <v>364</v>
      </c>
      <c r="D107" s="8" t="s">
        <v>302</v>
      </c>
      <c r="J107" s="20" t="s">
        <v>37</v>
      </c>
      <c r="K107">
        <v>1290</v>
      </c>
      <c r="L107">
        <v>945</v>
      </c>
      <c r="M107">
        <v>1090</v>
      </c>
      <c r="N107">
        <v>1225</v>
      </c>
      <c r="O107">
        <v>890</v>
      </c>
      <c r="P107">
        <f>3895/2</f>
        <v>1947.5</v>
      </c>
      <c r="Q107">
        <v>15600</v>
      </c>
      <c r="V107" t="s">
        <v>25</v>
      </c>
      <c r="W107" t="s">
        <v>25</v>
      </c>
      <c r="X107">
        <v>2</v>
      </c>
      <c r="Y107" t="s">
        <v>333</v>
      </c>
    </row>
    <row r="108" spans="1:25" x14ac:dyDescent="0.4">
      <c r="A108" s="12">
        <v>46002</v>
      </c>
      <c r="B108" s="17">
        <v>0.85347222222222219</v>
      </c>
      <c r="C108" s="10" t="s">
        <v>365</v>
      </c>
      <c r="D108" s="8" t="s">
        <v>304</v>
      </c>
      <c r="J108" s="20" t="s">
        <v>35</v>
      </c>
      <c r="O108">
        <v>2000</v>
      </c>
      <c r="V108" t="s">
        <v>26</v>
      </c>
      <c r="W108" t="s">
        <v>25</v>
      </c>
      <c r="X108">
        <v>2</v>
      </c>
      <c r="Y108" t="s">
        <v>334</v>
      </c>
    </row>
    <row r="109" spans="1:25" s="15" customFormat="1" x14ac:dyDescent="0.4">
      <c r="A109" s="14"/>
      <c r="D109" s="16"/>
    </row>
    <row r="110" spans="1:25" x14ac:dyDescent="0.4">
      <c r="X110">
        <v>3</v>
      </c>
    </row>
    <row r="111" spans="1:25" x14ac:dyDescent="0.4">
      <c r="X111">
        <v>3</v>
      </c>
    </row>
    <row r="112" spans="1:25" x14ac:dyDescent="0.4">
      <c r="X112">
        <v>3</v>
      </c>
    </row>
    <row r="113" spans="24:24" x14ac:dyDescent="0.4">
      <c r="X113">
        <v>3</v>
      </c>
    </row>
    <row r="114" spans="24:24" x14ac:dyDescent="0.4">
      <c r="X114">
        <v>3</v>
      </c>
    </row>
    <row r="115" spans="24:24" x14ac:dyDescent="0.4">
      <c r="X115">
        <v>3</v>
      </c>
    </row>
    <row r="116" spans="24:24" x14ac:dyDescent="0.4">
      <c r="X116">
        <v>3</v>
      </c>
    </row>
    <row r="117" spans="24:24" x14ac:dyDescent="0.4">
      <c r="X117">
        <v>3</v>
      </c>
    </row>
    <row r="118" spans="24:24" x14ac:dyDescent="0.4">
      <c r="X118">
        <v>3</v>
      </c>
    </row>
    <row r="119" spans="24:24" x14ac:dyDescent="0.4">
      <c r="X119">
        <v>3</v>
      </c>
    </row>
  </sheetData>
  <hyperlinks>
    <hyperlink ref="D2" r:id="rId1" xr:uid="{FBF7DDBD-1EC4-4873-944F-9E629247EF22}"/>
    <hyperlink ref="D3" r:id="rId2" xr:uid="{E63B24D6-4F95-434A-800C-1D57325B610A}"/>
    <hyperlink ref="D4" r:id="rId3" xr:uid="{B1315777-DE05-4CC8-8201-255AE1918DDD}"/>
    <hyperlink ref="D6" r:id="rId4" xr:uid="{922133D1-D3A4-4C51-81F7-4665F8E12D45}"/>
    <hyperlink ref="D7" r:id="rId5" xr:uid="{05DAA6D8-71DA-48C4-B8EB-54FD10A22CC4}"/>
    <hyperlink ref="D8" r:id="rId6" xr:uid="{E23E8C43-D2C8-47DE-9049-AB937AF3664E}"/>
    <hyperlink ref="D9" r:id="rId7" xr:uid="{A6A16B75-2F2B-46F5-8289-45DE0FB905C0}"/>
    <hyperlink ref="D10" r:id="rId8" xr:uid="{3383D294-A08B-44D0-8231-2B1B470D1819}"/>
    <hyperlink ref="D11" r:id="rId9" xr:uid="{78EB432A-CAF2-42F1-A19A-DFDF0FC674FF}"/>
    <hyperlink ref="D12" r:id="rId10" xr:uid="{38BAB723-547E-4775-8E05-1455DDB50C13}"/>
    <hyperlink ref="D14" r:id="rId11" xr:uid="{1604CFEE-3E60-45F4-B4F9-EC8B8486BDF4}"/>
    <hyperlink ref="D15" r:id="rId12" xr:uid="{C8DE7F22-28D7-4602-95AC-801F4E941FB7}"/>
    <hyperlink ref="D16" r:id="rId13" xr:uid="{F2D9FE1C-6398-44A6-9491-C044DD46A65C}"/>
    <hyperlink ref="D17" r:id="rId14" xr:uid="{DCCF0236-2107-404F-A3E5-CD3E57714E88}"/>
    <hyperlink ref="D18" r:id="rId15" xr:uid="{8769EE86-B3E7-42BB-95A2-18EC2708EB65}"/>
    <hyperlink ref="D19" r:id="rId16" xr:uid="{1964888D-BB19-40EE-A00B-1BF8C31402B1}"/>
    <hyperlink ref="D20" r:id="rId17" xr:uid="{2EF06C4F-F999-4751-9923-E85F89354A63}"/>
    <hyperlink ref="D21" r:id="rId18" xr:uid="{203FA3FE-B7F3-484A-BCBA-BEC3B565D6B5}"/>
    <hyperlink ref="D22" r:id="rId19" xr:uid="{4D958BAB-35F7-4887-97A9-DFFA19977D71}"/>
    <hyperlink ref="D23" r:id="rId20" xr:uid="{6AB16552-E7D3-4185-9396-1F036B3B2CB9}"/>
    <hyperlink ref="D24" r:id="rId21" xr:uid="{C0FE893A-6758-4A3A-B34D-E85BBC304FEB}"/>
    <hyperlink ref="D25" r:id="rId22" xr:uid="{370D3FAC-EC09-4DD2-B9A9-2ABA305E87E7}"/>
    <hyperlink ref="D26" r:id="rId23" xr:uid="{A70BD821-904A-4307-8694-92C33BB216EC}"/>
    <hyperlink ref="D27" r:id="rId24" xr:uid="{D32D196B-EB3F-46A8-AECA-1F0CA8ED5A4B}"/>
    <hyperlink ref="D28" r:id="rId25" xr:uid="{39C55308-8296-48BD-9799-32E3D30F8876}"/>
    <hyperlink ref="D29" r:id="rId26" xr:uid="{95AEF57E-B47B-4ECA-B3EE-3548217A76B5}"/>
    <hyperlink ref="D30" r:id="rId27" xr:uid="{7FCA1409-2A7F-48D9-B888-FD1AF00A1D54}"/>
    <hyperlink ref="D31" r:id="rId28" xr:uid="{A3E654D2-3C80-4EDF-86EC-AAAC7B01DA30}"/>
    <hyperlink ref="D32" r:id="rId29" xr:uid="{E456A4BD-870B-4F40-8838-ED171E1FF425}"/>
    <hyperlink ref="D34" r:id="rId30" xr:uid="{7BD77EF0-8032-461F-9774-7E184E3DBCFB}"/>
    <hyperlink ref="D37" r:id="rId31" xr:uid="{1EE51ECD-69AF-494B-8520-BD6261336C89}"/>
    <hyperlink ref="D41" r:id="rId32" xr:uid="{CE6ABC30-A360-4542-9DEE-683C8DDB8042}"/>
    <hyperlink ref="D42" r:id="rId33" xr:uid="{BAE7041E-15D3-4E82-ACB1-FE2CC2921852}"/>
    <hyperlink ref="D43" r:id="rId34" xr:uid="{79146B76-70C1-4682-9B9F-6016826D45FD}"/>
    <hyperlink ref="D46" r:id="rId35" xr:uid="{58BA3545-02BC-4641-B982-97D2A73CCD98}"/>
    <hyperlink ref="D49" r:id="rId36" xr:uid="{9AC29BD2-ED28-46F7-9DF7-E7C149BB65EE}"/>
    <hyperlink ref="D50" r:id="rId37" xr:uid="{EBF959DC-367B-4FA9-AA50-D57F9F44FEB1}"/>
    <hyperlink ref="D52" r:id="rId38" xr:uid="{233C5DFE-BEC5-4DD5-A564-9A42403184CD}"/>
    <hyperlink ref="D53" r:id="rId39" xr:uid="{998E828F-A35D-47B7-9AFC-8E53F6BA3F1C}"/>
    <hyperlink ref="D54" r:id="rId40" xr:uid="{AFFED709-8239-4FA3-9121-E2ADCD0F842F}"/>
    <hyperlink ref="D56" r:id="rId41" xr:uid="{C08F5748-5739-4F5F-B521-43C37C580D00}"/>
    <hyperlink ref="D57" r:id="rId42" xr:uid="{71554D1B-F9B1-490D-9819-224DB54580DF}"/>
    <hyperlink ref="D58" r:id="rId43" xr:uid="{9D65CD39-25FB-40D0-8C96-2E9EA3C4E94D}"/>
    <hyperlink ref="D59" r:id="rId44" xr:uid="{4C0F0048-A8CF-4382-9173-B555B3A2BD17}"/>
    <hyperlink ref="D60" r:id="rId45" xr:uid="{BFB3DAF1-00FA-40C7-9AFD-504413148B14}"/>
    <hyperlink ref="D61" r:id="rId46" xr:uid="{3C153DC1-7651-48CC-B70A-BB8F96EBB412}"/>
    <hyperlink ref="D62" r:id="rId47" xr:uid="{6A01D59A-0361-45B4-B8B7-C1616567C3ED}"/>
    <hyperlink ref="D63" r:id="rId48" xr:uid="{4AA3E144-4131-432C-8D00-69EDE0E48BD6}"/>
    <hyperlink ref="D64" r:id="rId49" xr:uid="{595BC966-A242-4E1A-B35E-593FB9F5DB81}"/>
    <hyperlink ref="D65" r:id="rId50" xr:uid="{8DF8CB04-C5EE-4608-BC08-316B9162FE8B}"/>
    <hyperlink ref="D66" r:id="rId51" xr:uid="{E320E887-2E4E-4A15-9487-623EF9E36775}"/>
    <hyperlink ref="D67" r:id="rId52" xr:uid="{2970998B-B166-4E3A-8AC5-295C3A6133E2}"/>
    <hyperlink ref="D68" r:id="rId53" xr:uid="{99D72668-62E1-414D-A8FD-5BE14E55D238}"/>
    <hyperlink ref="D69" r:id="rId54" xr:uid="{435035DD-083E-4E25-AC57-BF43FAB00460}"/>
    <hyperlink ref="D70" r:id="rId55" xr:uid="{86428C06-7AEE-42F5-B729-C598EBED08EF}"/>
    <hyperlink ref="D71" r:id="rId56" xr:uid="{EBB633DA-3CD1-4421-B9C2-5CB3514A982B}"/>
    <hyperlink ref="D72" r:id="rId57" xr:uid="{234F2EA6-1990-4DC2-AEA0-4BA7837870FB}"/>
    <hyperlink ref="D73" r:id="rId58" xr:uid="{732D4B70-FD82-435E-B5AA-CB8078A5C21D}"/>
    <hyperlink ref="D74" r:id="rId59" xr:uid="{E265A52B-005B-48BB-847F-D4C8925D1768}"/>
    <hyperlink ref="D76" r:id="rId60" xr:uid="{BC6E1B13-50C4-4FD0-B155-CB1484A528AB}"/>
    <hyperlink ref="D5" r:id="rId61" xr:uid="{2A3CDF9E-BC79-46F9-B457-42B761ACD097}"/>
    <hyperlink ref="D38" r:id="rId62" xr:uid="{CBEC265E-2E7F-49F7-AFE2-B854546EC169}"/>
    <hyperlink ref="D39" r:id="rId63" xr:uid="{8989D088-3173-4782-9CBD-DFD3278E91D3}"/>
    <hyperlink ref="D40" r:id="rId64" xr:uid="{E57FB86E-B967-4E0B-8660-AFEF8245A91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5963EFB-1B60-404C-BE2B-9D6852B06E37}">
          <x14:formula1>
            <xm:f>Hoja2!$A$1:$A$13</xm:f>
          </x14:formula1>
          <xm:sqref>J2:J1048576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F83F1-29EC-43B3-8ACA-2F936131DCF2}">
  <dimension ref="A1:Z57"/>
  <sheetViews>
    <sheetView topLeftCell="A20" workbookViewId="0">
      <selection activeCell="C27" sqref="C27"/>
    </sheetView>
  </sheetViews>
  <sheetFormatPr baseColWidth="10" defaultRowHeight="14.6" x14ac:dyDescent="0.4"/>
  <cols>
    <col min="5" max="9" width="5.84375" customWidth="1"/>
    <col min="10" max="10" width="16.53515625" customWidth="1"/>
    <col min="11" max="24" width="5.84375" customWidth="1"/>
  </cols>
  <sheetData>
    <row r="1" spans="1:26" s="4" customFormat="1" ht="40.5" customHeight="1" x14ac:dyDescent="0.4">
      <c r="A1" s="13" t="s">
        <v>99</v>
      </c>
      <c r="B1" s="11" t="s">
        <v>53</v>
      </c>
      <c r="C1" s="11" t="s">
        <v>241</v>
      </c>
      <c r="D1" s="6" t="s">
        <v>18</v>
      </c>
      <c r="E1" s="1" t="s">
        <v>242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244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245</v>
      </c>
      <c r="W1" s="3" t="s">
        <v>15</v>
      </c>
      <c r="X1" s="3" t="s">
        <v>260</v>
      </c>
      <c r="Y1" s="3" t="s">
        <v>238</v>
      </c>
      <c r="Z1" s="3" t="s">
        <v>16</v>
      </c>
    </row>
    <row r="2" spans="1:26" x14ac:dyDescent="0.4">
      <c r="A2" s="12">
        <v>45820.750694444447</v>
      </c>
      <c r="B2" s="10">
        <v>0.75069444444444444</v>
      </c>
      <c r="C2" s="10" t="s">
        <v>191</v>
      </c>
      <c r="D2" s="7" t="s">
        <v>55</v>
      </c>
      <c r="J2" t="s">
        <v>35</v>
      </c>
      <c r="O2">
        <v>1333</v>
      </c>
      <c r="V2" t="s">
        <v>26</v>
      </c>
      <c r="W2" t="s">
        <v>25</v>
      </c>
      <c r="X2">
        <v>1</v>
      </c>
      <c r="Y2" t="s">
        <v>140</v>
      </c>
    </row>
    <row r="3" spans="1:26" x14ac:dyDescent="0.4">
      <c r="A3" s="19">
        <v>46002</v>
      </c>
      <c r="B3" s="17">
        <v>0.80138888888888893</v>
      </c>
      <c r="C3" s="10" t="s">
        <v>356</v>
      </c>
      <c r="D3" s="8" t="s">
        <v>287</v>
      </c>
      <c r="J3" t="s">
        <v>35</v>
      </c>
      <c r="O3">
        <v>2000</v>
      </c>
      <c r="V3" t="s">
        <v>26</v>
      </c>
      <c r="W3" t="s">
        <v>25</v>
      </c>
      <c r="X3">
        <v>2</v>
      </c>
      <c r="Y3" t="s">
        <v>326</v>
      </c>
    </row>
    <row r="4" spans="1:26" s="5" customFormat="1" x14ac:dyDescent="0.4">
      <c r="O4" s="5">
        <f>O2/O3</f>
        <v>0.66649999999999998</v>
      </c>
    </row>
    <row r="5" spans="1:26" x14ac:dyDescent="0.4">
      <c r="A5" s="12">
        <v>45820.745833333334</v>
      </c>
      <c r="B5" s="10">
        <v>0.74583333333333335</v>
      </c>
      <c r="C5" s="10" t="s">
        <v>190</v>
      </c>
      <c r="D5" s="7" t="s">
        <v>54</v>
      </c>
      <c r="J5" t="s">
        <v>24</v>
      </c>
      <c r="K5">
        <v>1400</v>
      </c>
      <c r="L5">
        <v>2000</v>
      </c>
      <c r="M5">
        <v>2000</v>
      </c>
      <c r="N5">
        <v>4000</v>
      </c>
      <c r="P5">
        <v>2136</v>
      </c>
      <c r="V5" t="s">
        <v>26</v>
      </c>
      <c r="W5" t="s">
        <v>25</v>
      </c>
      <c r="X5">
        <v>1</v>
      </c>
      <c r="Y5" t="s">
        <v>139</v>
      </c>
    </row>
    <row r="6" spans="1:26" x14ac:dyDescent="0.4">
      <c r="A6" s="19">
        <v>46002</v>
      </c>
      <c r="B6" s="17">
        <v>0.77638888888888891</v>
      </c>
      <c r="C6" s="10" t="s">
        <v>350</v>
      </c>
      <c r="D6" s="8" t="s">
        <v>275</v>
      </c>
      <c r="J6" t="s">
        <v>24</v>
      </c>
      <c r="K6">
        <v>2300</v>
      </c>
      <c r="L6">
        <v>2300</v>
      </c>
      <c r="M6">
        <v>2000</v>
      </c>
      <c r="N6">
        <v>5000</v>
      </c>
      <c r="P6">
        <f>23000/10</f>
        <v>2300</v>
      </c>
      <c r="V6" t="s">
        <v>26</v>
      </c>
      <c r="W6" t="s">
        <v>25</v>
      </c>
      <c r="X6">
        <v>2</v>
      </c>
      <c r="Y6" t="s">
        <v>320</v>
      </c>
    </row>
    <row r="7" spans="1:26" s="5" customFormat="1" x14ac:dyDescent="0.4">
      <c r="K7" s="5">
        <f>K5/K6</f>
        <v>0.60869565217391308</v>
      </c>
      <c r="L7" s="5">
        <f t="shared" ref="L7:P7" si="0">L5/L6</f>
        <v>0.86956521739130432</v>
      </c>
      <c r="M7" s="5">
        <f t="shared" si="0"/>
        <v>1</v>
      </c>
      <c r="N7" s="5">
        <f t="shared" si="0"/>
        <v>0.8</v>
      </c>
      <c r="P7" s="5">
        <f t="shared" si="0"/>
        <v>0.92869565217391303</v>
      </c>
    </row>
    <row r="8" spans="1:26" x14ac:dyDescent="0.4">
      <c r="A8">
        <v>45820.912499999999</v>
      </c>
      <c r="B8">
        <v>0.91249999999999998</v>
      </c>
      <c r="C8" t="s">
        <v>232</v>
      </c>
      <c r="D8" t="s">
        <v>94</v>
      </c>
      <c r="J8" t="s">
        <v>66</v>
      </c>
      <c r="P8">
        <v>725</v>
      </c>
      <c r="V8" t="s">
        <v>26</v>
      </c>
      <c r="W8" t="s">
        <v>25</v>
      </c>
      <c r="X8">
        <v>1</v>
      </c>
      <c r="Y8" t="s">
        <v>111</v>
      </c>
    </row>
    <row r="9" spans="1:26" x14ac:dyDescent="0.4">
      <c r="A9" s="19">
        <v>46002</v>
      </c>
      <c r="B9" s="17">
        <v>0.78472222222222221</v>
      </c>
      <c r="C9" s="10" t="s">
        <v>352</v>
      </c>
      <c r="D9" s="8" t="s">
        <v>279</v>
      </c>
      <c r="J9" t="s">
        <v>66</v>
      </c>
      <c r="P9">
        <f>1500/2</f>
        <v>750</v>
      </c>
      <c r="V9" t="s">
        <v>26</v>
      </c>
      <c r="W9" t="s">
        <v>25</v>
      </c>
      <c r="X9">
        <v>2</v>
      </c>
      <c r="Y9" t="s">
        <v>322</v>
      </c>
    </row>
    <row r="10" spans="1:26" s="5" customFormat="1" x14ac:dyDescent="0.4">
      <c r="P10" s="5">
        <f t="shared" ref="P10" si="1">P8/P9</f>
        <v>0.96666666666666667</v>
      </c>
    </row>
    <row r="11" spans="1:26" x14ac:dyDescent="0.4">
      <c r="A11" s="12">
        <v>45820.759722222225</v>
      </c>
      <c r="B11" s="10">
        <v>0.75972222222222219</v>
      </c>
      <c r="C11" s="10" t="s">
        <v>193</v>
      </c>
      <c r="D11" s="7" t="s">
        <v>57</v>
      </c>
      <c r="J11" t="s">
        <v>58</v>
      </c>
      <c r="K11">
        <v>2100</v>
      </c>
      <c r="L11">
        <v>1200</v>
      </c>
      <c r="M11">
        <v>2000</v>
      </c>
      <c r="N11">
        <v>5200</v>
      </c>
      <c r="U11" t="s">
        <v>243</v>
      </c>
      <c r="V11" t="s">
        <v>26</v>
      </c>
      <c r="W11" t="s">
        <v>25</v>
      </c>
      <c r="X11">
        <v>1</v>
      </c>
      <c r="Y11" t="s">
        <v>142</v>
      </c>
    </row>
    <row r="12" spans="1:26" x14ac:dyDescent="0.4">
      <c r="A12" s="19">
        <v>46002</v>
      </c>
      <c r="B12" s="17">
        <v>0.75</v>
      </c>
      <c r="C12" s="10" t="s">
        <v>347</v>
      </c>
      <c r="D12" s="8" t="s">
        <v>269</v>
      </c>
      <c r="J12" t="s">
        <v>47</v>
      </c>
      <c r="K12">
        <v>2900</v>
      </c>
      <c r="L12">
        <v>1300</v>
      </c>
      <c r="M12">
        <v>2000</v>
      </c>
      <c r="N12">
        <v>5200</v>
      </c>
      <c r="V12" t="s">
        <v>26</v>
      </c>
      <c r="W12" t="s">
        <v>25</v>
      </c>
      <c r="X12">
        <v>2</v>
      </c>
      <c r="Y12" t="s">
        <v>317</v>
      </c>
    </row>
    <row r="13" spans="1:26" s="5" customFormat="1" x14ac:dyDescent="0.4">
      <c r="K13" s="5">
        <f t="shared" ref="K13" si="2">K11/K12</f>
        <v>0.72413793103448276</v>
      </c>
      <c r="L13" s="5">
        <f t="shared" ref="L13" si="3">L11/L12</f>
        <v>0.92307692307692313</v>
      </c>
      <c r="M13" s="5">
        <f t="shared" ref="M13" si="4">M11/M12</f>
        <v>1</v>
      </c>
      <c r="N13" s="5">
        <f t="shared" ref="N13" si="5">N11/N12</f>
        <v>1</v>
      </c>
    </row>
    <row r="14" spans="1:26" x14ac:dyDescent="0.4">
      <c r="A14" s="12">
        <v>45820.910416666666</v>
      </c>
      <c r="B14" s="10">
        <v>0.91041666666666665</v>
      </c>
      <c r="C14" s="10" t="s">
        <v>231</v>
      </c>
      <c r="D14" s="7" t="s">
        <v>93</v>
      </c>
      <c r="J14" t="s">
        <v>21</v>
      </c>
      <c r="Q14">
        <v>5450</v>
      </c>
      <c r="V14" t="s">
        <v>25</v>
      </c>
      <c r="W14" t="s">
        <v>25</v>
      </c>
      <c r="X14">
        <v>1</v>
      </c>
      <c r="Y14" t="s">
        <v>110</v>
      </c>
    </row>
    <row r="15" spans="1:26" x14ac:dyDescent="0.4">
      <c r="A15" s="19">
        <v>46002</v>
      </c>
      <c r="B15" s="17">
        <v>0.78680555555555554</v>
      </c>
      <c r="C15" s="10" t="s">
        <v>353</v>
      </c>
      <c r="D15" s="8" t="s">
        <v>281</v>
      </c>
      <c r="J15" t="s">
        <v>21</v>
      </c>
      <c r="Q15">
        <v>13900</v>
      </c>
      <c r="V15" t="s">
        <v>25</v>
      </c>
      <c r="W15" t="s">
        <v>25</v>
      </c>
      <c r="X15">
        <v>2</v>
      </c>
      <c r="Y15" t="s">
        <v>323</v>
      </c>
    </row>
    <row r="16" spans="1:26" s="5" customFormat="1" x14ac:dyDescent="0.4">
      <c r="Q16" s="5">
        <f t="shared" ref="Q16" si="6">Q14/Q15</f>
        <v>0.3920863309352518</v>
      </c>
    </row>
    <row r="17" spans="1:25" x14ac:dyDescent="0.4">
      <c r="A17" s="12">
        <v>45820.92291666667</v>
      </c>
      <c r="B17" s="10">
        <v>0.92291666666666672</v>
      </c>
      <c r="C17" s="10" t="s">
        <v>233</v>
      </c>
      <c r="D17" s="7" t="s">
        <v>95</v>
      </c>
      <c r="J17" t="s">
        <v>47</v>
      </c>
      <c r="K17">
        <v>1600</v>
      </c>
      <c r="L17">
        <v>1381</v>
      </c>
      <c r="M17">
        <v>1350</v>
      </c>
      <c r="N17">
        <v>1400</v>
      </c>
      <c r="P17">
        <v>1399</v>
      </c>
      <c r="V17" t="s">
        <v>26</v>
      </c>
      <c r="W17" t="s">
        <v>25</v>
      </c>
      <c r="X17">
        <v>1</v>
      </c>
      <c r="Y17" t="s">
        <v>112</v>
      </c>
    </row>
    <row r="18" spans="1:25" x14ac:dyDescent="0.4">
      <c r="A18" s="19">
        <v>46002</v>
      </c>
      <c r="B18" s="17">
        <v>0.71527777777777779</v>
      </c>
      <c r="C18" s="10" t="s">
        <v>341</v>
      </c>
      <c r="D18" s="8" t="s">
        <v>256</v>
      </c>
      <c r="J18" t="s">
        <v>24</v>
      </c>
      <c r="K18">
        <v>1600</v>
      </c>
      <c r="L18">
        <v>1050</v>
      </c>
      <c r="M18">
        <v>1550</v>
      </c>
      <c r="N18">
        <v>1600</v>
      </c>
      <c r="P18">
        <f>14000/10</f>
        <v>1400</v>
      </c>
      <c r="V18" t="s">
        <v>26</v>
      </c>
      <c r="W18" t="s">
        <v>25</v>
      </c>
      <c r="X18">
        <v>2</v>
      </c>
      <c r="Y18" t="s">
        <v>311</v>
      </c>
    </row>
    <row r="19" spans="1:25" s="5" customFormat="1" x14ac:dyDescent="0.4">
      <c r="K19" s="5">
        <f t="shared" ref="K19" si="7">K17/K18</f>
        <v>1</v>
      </c>
      <c r="L19" s="5">
        <f t="shared" ref="L19" si="8">L17/L18</f>
        <v>1.3152380952380953</v>
      </c>
      <c r="M19" s="5">
        <f t="shared" ref="M19" si="9">M17/M18</f>
        <v>0.87096774193548387</v>
      </c>
      <c r="N19" s="5">
        <f t="shared" ref="N19" si="10">N17/N18</f>
        <v>0.875</v>
      </c>
      <c r="P19" s="5">
        <f t="shared" ref="P19" si="11">P17/P18</f>
        <v>0.99928571428571433</v>
      </c>
    </row>
    <row r="20" spans="1:25" x14ac:dyDescent="0.4">
      <c r="A20" s="12">
        <v>45820.925694444442</v>
      </c>
      <c r="B20" s="10">
        <v>0.92569444444444449</v>
      </c>
      <c r="C20" s="10" t="s">
        <v>234</v>
      </c>
      <c r="D20" s="7" t="s">
        <v>96</v>
      </c>
      <c r="J20" t="s">
        <v>35</v>
      </c>
      <c r="O20">
        <v>725</v>
      </c>
      <c r="V20" t="s">
        <v>26</v>
      </c>
      <c r="W20" t="s">
        <v>25</v>
      </c>
      <c r="X20">
        <v>1</v>
      </c>
      <c r="Y20" t="s">
        <v>240</v>
      </c>
    </row>
    <row r="21" spans="1:25" x14ac:dyDescent="0.4">
      <c r="A21" s="19">
        <v>46002</v>
      </c>
      <c r="B21" s="17">
        <v>0.71319444444444446</v>
      </c>
      <c r="C21" s="10" t="s">
        <v>340</v>
      </c>
      <c r="D21" s="8" t="s">
        <v>254</v>
      </c>
      <c r="J21" t="s">
        <v>35</v>
      </c>
      <c r="O21">
        <f>1500/2</f>
        <v>750</v>
      </c>
      <c r="V21" t="s">
        <v>26</v>
      </c>
      <c r="W21" t="s">
        <v>25</v>
      </c>
      <c r="X21">
        <v>2</v>
      </c>
      <c r="Y21" t="s">
        <v>310</v>
      </c>
    </row>
    <row r="22" spans="1:25" s="5" customFormat="1" x14ac:dyDescent="0.4">
      <c r="O22" s="5">
        <f t="shared" ref="O22" si="12">O20/O21</f>
        <v>0.96666666666666667</v>
      </c>
    </row>
    <row r="23" spans="1:25" x14ac:dyDescent="0.4">
      <c r="A23" s="12">
        <v>45820.926388888889</v>
      </c>
      <c r="B23" s="10">
        <v>0.92638888888888893</v>
      </c>
      <c r="C23" s="10" t="s">
        <v>235</v>
      </c>
      <c r="D23" s="7" t="s">
        <v>97</v>
      </c>
      <c r="J23" t="s">
        <v>35</v>
      </c>
      <c r="O23">
        <v>725</v>
      </c>
      <c r="V23" t="s">
        <v>26</v>
      </c>
      <c r="W23" t="s">
        <v>25</v>
      </c>
      <c r="X23">
        <v>1</v>
      </c>
      <c r="Y23" t="s">
        <v>113</v>
      </c>
    </row>
    <row r="24" spans="1:25" x14ac:dyDescent="0.4">
      <c r="A24" s="12">
        <v>46002</v>
      </c>
      <c r="B24" s="17">
        <v>0.71180555555555558</v>
      </c>
      <c r="C24" s="10" t="s">
        <v>339</v>
      </c>
      <c r="D24" s="8" t="s">
        <v>252</v>
      </c>
      <c r="J24" t="s">
        <v>35</v>
      </c>
      <c r="O24">
        <v>1000</v>
      </c>
      <c r="V24" t="s">
        <v>26</v>
      </c>
      <c r="W24" t="s">
        <v>25</v>
      </c>
      <c r="X24">
        <v>2</v>
      </c>
      <c r="Y24" t="s">
        <v>309</v>
      </c>
    </row>
    <row r="25" spans="1:25" s="5" customFormat="1" x14ac:dyDescent="0.4">
      <c r="O25" s="5">
        <f t="shared" ref="O25" si="13">O23/O24</f>
        <v>0.72499999999999998</v>
      </c>
    </row>
    <row r="26" spans="1:25" x14ac:dyDescent="0.4">
      <c r="A26" s="12">
        <v>45820.84652777778</v>
      </c>
      <c r="B26" s="10">
        <v>0.84652777777777777</v>
      </c>
      <c r="C26" s="10" t="s">
        <v>208</v>
      </c>
      <c r="D26" s="7" t="s">
        <v>72</v>
      </c>
      <c r="J26" s="20" t="s">
        <v>35</v>
      </c>
      <c r="O26">
        <v>900</v>
      </c>
      <c r="V26" t="s">
        <v>26</v>
      </c>
      <c r="W26" t="s">
        <v>25</v>
      </c>
      <c r="X26">
        <v>1</v>
      </c>
      <c r="Y26" t="s">
        <v>152</v>
      </c>
    </row>
    <row r="27" spans="1:25" x14ac:dyDescent="0.4">
      <c r="A27" s="12">
        <v>46002</v>
      </c>
      <c r="B27" s="17">
        <v>0.84375</v>
      </c>
      <c r="C27" s="10" t="s">
        <v>363</v>
      </c>
      <c r="D27" s="8" t="s">
        <v>300</v>
      </c>
      <c r="J27" s="20" t="s">
        <v>35</v>
      </c>
      <c r="O27">
        <v>1500</v>
      </c>
      <c r="V27" t="s">
        <v>26</v>
      </c>
      <c r="W27" t="s">
        <v>25</v>
      </c>
      <c r="X27">
        <v>2</v>
      </c>
      <c r="Y27" t="s">
        <v>332</v>
      </c>
    </row>
    <row r="28" spans="1:25" s="5" customFormat="1" x14ac:dyDescent="0.4"/>
    <row r="29" spans="1:25" x14ac:dyDescent="0.4">
      <c r="A29" s="12"/>
      <c r="B29" s="10"/>
      <c r="C29" s="10"/>
      <c r="D29" s="7"/>
    </row>
    <row r="30" spans="1:25" x14ac:dyDescent="0.4">
      <c r="A30" s="12"/>
      <c r="B30" s="10"/>
      <c r="C30" s="10"/>
      <c r="D30" s="7"/>
    </row>
    <row r="31" spans="1:25" s="5" customFormat="1" x14ac:dyDescent="0.4"/>
    <row r="32" spans="1:25" x14ac:dyDescent="0.4">
      <c r="A32" s="12"/>
      <c r="B32" s="10"/>
      <c r="C32" s="10"/>
      <c r="D32" s="7"/>
    </row>
    <row r="33" spans="1:17" x14ac:dyDescent="0.4">
      <c r="A33" s="12"/>
      <c r="B33" s="10"/>
      <c r="C33" s="10"/>
      <c r="D33" s="7"/>
    </row>
    <row r="34" spans="1:17" s="5" customFormat="1" x14ac:dyDescent="0.4"/>
    <row r="35" spans="1:17" x14ac:dyDescent="0.4">
      <c r="A35" s="12"/>
      <c r="B35" s="10"/>
      <c r="C35" s="10"/>
      <c r="D35" s="7"/>
    </row>
    <row r="36" spans="1:17" x14ac:dyDescent="0.4">
      <c r="A36" s="12"/>
      <c r="B36" s="10"/>
      <c r="C36" s="10"/>
      <c r="D36" s="7"/>
    </row>
    <row r="37" spans="1:17" s="5" customFormat="1" x14ac:dyDescent="0.4"/>
    <row r="38" spans="1:17" x14ac:dyDescent="0.4">
      <c r="A38" s="18" t="s">
        <v>366</v>
      </c>
    </row>
    <row r="39" spans="1:17" x14ac:dyDescent="0.4">
      <c r="L39" t="s">
        <v>367</v>
      </c>
      <c r="P39">
        <f>MEDIAN(Q39:Q57)</f>
        <v>0.92307692307692313</v>
      </c>
      <c r="Q39">
        <f>O4</f>
        <v>0.66649999999999998</v>
      </c>
    </row>
    <row r="40" spans="1:17" x14ac:dyDescent="0.4">
      <c r="Q40" cm="1">
        <f t="array" ref="Q40:Q43">TRANSPOSE(K7:N7)</f>
        <v>0.60869565217391308</v>
      </c>
    </row>
    <row r="41" spans="1:17" x14ac:dyDescent="0.4">
      <c r="Q41">
        <v>0.86956521739130432</v>
      </c>
    </row>
    <row r="42" spans="1:17" x14ac:dyDescent="0.4">
      <c r="Q42">
        <v>1</v>
      </c>
    </row>
    <row r="43" spans="1:17" x14ac:dyDescent="0.4">
      <c r="Q43">
        <v>0.8</v>
      </c>
    </row>
    <row r="44" spans="1:17" x14ac:dyDescent="0.4">
      <c r="Q44">
        <f>P7</f>
        <v>0.92869565217391303</v>
      </c>
    </row>
    <row r="45" spans="1:17" x14ac:dyDescent="0.4">
      <c r="Q45">
        <f>P10</f>
        <v>0.96666666666666667</v>
      </c>
    </row>
    <row r="46" spans="1:17" x14ac:dyDescent="0.4">
      <c r="Q46" cm="1">
        <f t="array" ref="Q46:Q49">TRANSPOSE(K13:N13)</f>
        <v>0.72413793103448276</v>
      </c>
    </row>
    <row r="47" spans="1:17" x14ac:dyDescent="0.4">
      <c r="Q47">
        <v>0.92307692307692313</v>
      </c>
    </row>
    <row r="48" spans="1:17" x14ac:dyDescent="0.4">
      <c r="Q48">
        <v>1</v>
      </c>
    </row>
    <row r="49" spans="17:17" x14ac:dyDescent="0.4">
      <c r="Q49">
        <v>1</v>
      </c>
    </row>
    <row r="50" spans="17:17" x14ac:dyDescent="0.4">
      <c r="Q50">
        <f>Q16</f>
        <v>0.3920863309352518</v>
      </c>
    </row>
    <row r="51" spans="17:17" x14ac:dyDescent="0.4">
      <c r="Q51" cm="1">
        <f t="array" ref="Q51:Q54">TRANSPOSE(K19:N19)</f>
        <v>1</v>
      </c>
    </row>
    <row r="52" spans="17:17" x14ac:dyDescent="0.4">
      <c r="Q52">
        <v>1.3152380952380953</v>
      </c>
    </row>
    <row r="53" spans="17:17" x14ac:dyDescent="0.4">
      <c r="Q53">
        <v>0.87096774193548387</v>
      </c>
    </row>
    <row r="54" spans="17:17" x14ac:dyDescent="0.4">
      <c r="Q54">
        <v>0.875</v>
      </c>
    </row>
    <row r="55" spans="17:17" x14ac:dyDescent="0.4">
      <c r="Q55">
        <f>P19</f>
        <v>0.99928571428571433</v>
      </c>
    </row>
    <row r="56" spans="17:17" x14ac:dyDescent="0.4">
      <c r="Q56">
        <f>O22</f>
        <v>0.96666666666666667</v>
      </c>
    </row>
    <row r="57" spans="17:17" x14ac:dyDescent="0.4">
      <c r="Q57">
        <f>O25</f>
        <v>0.72499999999999998</v>
      </c>
    </row>
  </sheetData>
  <hyperlinks>
    <hyperlink ref="D2" r:id="rId1" xr:uid="{960FD7B3-829F-4B2E-97C0-E3F7A6E5866D}"/>
    <hyperlink ref="D5" r:id="rId2" xr:uid="{A5C6AD7B-364E-445A-8908-44458304C738}"/>
    <hyperlink ref="D11" r:id="rId3" xr:uid="{C13CF790-95B6-4B46-A2A9-DF90B48F42A4}"/>
    <hyperlink ref="D14" r:id="rId4" xr:uid="{4C79044B-28C5-4879-94D7-82A013DCF39E}"/>
    <hyperlink ref="D17" r:id="rId5" xr:uid="{F0D187D3-A464-4835-9B9A-ABA4A71C0CFE}"/>
    <hyperlink ref="D20" r:id="rId6" xr:uid="{19C3E4CB-0F90-4FEF-94A9-F660DD038DBC}"/>
    <hyperlink ref="D23" r:id="rId7" xr:uid="{5FFC5F3D-6CFA-4EF4-B5A2-B0821EA82FDC}"/>
    <hyperlink ref="D26" r:id="rId8" xr:uid="{D954D8F3-D90F-478A-9082-C32FF6DC700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C8EE26B2-7ABB-4EDC-8C5B-25E7B697FEF8}">
          <x14:formula1>
            <xm:f>Hoja2!$A$1:$A$13</xm:f>
          </x14:formula1>
          <xm:sqref>J2:J3 J5:J6 J9 J11:J12 J14:J15 J17:J18 J20:J21 J23:J24 J26:J27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E8C59-773D-4B03-928F-1A7370C1427F}">
  <dimension ref="A1:B31"/>
  <sheetViews>
    <sheetView topLeftCell="A16" workbookViewId="0">
      <selection activeCell="E9" sqref="E9"/>
    </sheetView>
  </sheetViews>
  <sheetFormatPr baseColWidth="10" defaultRowHeight="14.6" x14ac:dyDescent="0.4"/>
  <cols>
    <col min="1" max="1" width="29.3828125" customWidth="1"/>
  </cols>
  <sheetData>
    <row r="1" spans="1:2" x14ac:dyDescent="0.4">
      <c r="A1" t="s">
        <v>246</v>
      </c>
    </row>
    <row r="2" spans="1:2" x14ac:dyDescent="0.4">
      <c r="A2" t="s">
        <v>306</v>
      </c>
    </row>
    <row r="3" spans="1:2" x14ac:dyDescent="0.4">
      <c r="A3" t="s">
        <v>249</v>
      </c>
      <c r="B3" t="str">
        <f>CONCATENATE("POINT(",RIGHT(A3,10), " ",LEFT(A3,10),")")</f>
        <v>POINT(-58.394119 -34.589943)</v>
      </c>
    </row>
    <row r="4" spans="1:2" x14ac:dyDescent="0.4">
      <c r="A4" t="s">
        <v>251</v>
      </c>
      <c r="B4" t="str">
        <f t="shared" ref="B4:B31" si="0">CONCATENATE("POINT(",RIGHT(A4,10), " ",LEFT(A4,10),")")</f>
        <v>POINT(-58.393669 -34.590313)</v>
      </c>
    </row>
    <row r="5" spans="1:2" x14ac:dyDescent="0.4">
      <c r="A5" t="s">
        <v>253</v>
      </c>
      <c r="B5" t="str">
        <f t="shared" si="0"/>
        <v>POINT(-58.393101 -34.590752)</v>
      </c>
    </row>
    <row r="6" spans="1:2" x14ac:dyDescent="0.4">
      <c r="A6" t="s">
        <v>255</v>
      </c>
      <c r="B6" t="str">
        <f t="shared" si="0"/>
        <v>POINT(-58.392571 -34.591213)</v>
      </c>
    </row>
    <row r="7" spans="1:2" x14ac:dyDescent="0.4">
      <c r="A7" t="s">
        <v>257</v>
      </c>
      <c r="B7" t="str">
        <f t="shared" si="0"/>
        <v>POINT(-58.391777 -34.592102)</v>
      </c>
    </row>
    <row r="8" spans="1:2" x14ac:dyDescent="0.4">
      <c r="A8" t="s">
        <v>259</v>
      </c>
      <c r="B8" t="str">
        <f t="shared" si="0"/>
        <v>POINT(-58.391026 -34.592506)</v>
      </c>
    </row>
    <row r="9" spans="1:2" x14ac:dyDescent="0.4">
      <c r="A9" t="s">
        <v>262</v>
      </c>
      <c r="B9" t="str">
        <f t="shared" si="0"/>
        <v>POINT(-58.392952 -34.590828)</v>
      </c>
    </row>
    <row r="10" spans="1:2" x14ac:dyDescent="0.4">
      <c r="A10" t="s">
        <v>264</v>
      </c>
      <c r="B10" t="str">
        <f t="shared" si="0"/>
        <v>POINT(-58.390587 -34.591076)</v>
      </c>
    </row>
    <row r="11" spans="1:2" x14ac:dyDescent="0.4">
      <c r="A11" t="s">
        <v>266</v>
      </c>
      <c r="B11" t="str">
        <f t="shared" si="0"/>
        <v>POINT(-58.390484 -34.591259)</v>
      </c>
    </row>
    <row r="12" spans="1:2" x14ac:dyDescent="0.4">
      <c r="A12" t="s">
        <v>268</v>
      </c>
      <c r="B12" t="str">
        <f t="shared" si="0"/>
        <v>POINT(-58.389732 -34.591938)</v>
      </c>
    </row>
    <row r="13" spans="1:2" x14ac:dyDescent="0.4">
      <c r="A13" t="s">
        <v>270</v>
      </c>
      <c r="B13" t="str">
        <f t="shared" si="0"/>
        <v>POINT(-58.387241 -34.587566)</v>
      </c>
    </row>
    <row r="14" spans="1:2" x14ac:dyDescent="0.4">
      <c r="A14" t="s">
        <v>272</v>
      </c>
      <c r="B14" t="str">
        <f t="shared" si="0"/>
        <v>POINT(-58.384201 -34.591892)</v>
      </c>
    </row>
    <row r="15" spans="1:2" x14ac:dyDescent="0.4">
      <c r="A15" t="s">
        <v>274</v>
      </c>
      <c r="B15" t="str">
        <f t="shared" si="0"/>
        <v>POINT(-58.384403 -34.592426)</v>
      </c>
    </row>
    <row r="16" spans="1:2" x14ac:dyDescent="0.4">
      <c r="A16" t="s">
        <v>276</v>
      </c>
      <c r="B16" t="str">
        <f t="shared" si="0"/>
        <v>POINT(-58.384228 -34.587570)</v>
      </c>
    </row>
    <row r="17" spans="1:2" x14ac:dyDescent="0.4">
      <c r="A17" t="s">
        <v>278</v>
      </c>
      <c r="B17" t="str">
        <f t="shared" si="0"/>
        <v>POINT(-58.385788 -34.587750)</v>
      </c>
    </row>
    <row r="18" spans="1:2" x14ac:dyDescent="0.4">
      <c r="A18" t="s">
        <v>280</v>
      </c>
      <c r="B18" t="str">
        <f t="shared" si="0"/>
        <v>POINT(-58.388268 -34.590282)</v>
      </c>
    </row>
    <row r="19" spans="1:2" x14ac:dyDescent="0.4">
      <c r="A19" t="s">
        <v>282</v>
      </c>
      <c r="B19" t="str">
        <f t="shared" si="0"/>
        <v>POINT(-58.389393 -34.591255)</v>
      </c>
    </row>
    <row r="20" spans="1:2" x14ac:dyDescent="0.4">
      <c r="A20" t="s">
        <v>284</v>
      </c>
      <c r="B20" t="str">
        <f t="shared" si="0"/>
        <v>POINT(-58.392174 -34.592304)</v>
      </c>
    </row>
    <row r="21" spans="1:2" x14ac:dyDescent="0.4">
      <c r="A21" t="s">
        <v>286</v>
      </c>
      <c r="B21" t="str">
        <f t="shared" si="0"/>
        <v>POINT(-58.386482 -34.586521)</v>
      </c>
    </row>
    <row r="22" spans="1:2" x14ac:dyDescent="0.4">
      <c r="A22" t="s">
        <v>288</v>
      </c>
      <c r="B22" t="str">
        <f t="shared" si="0"/>
        <v>POINT(-58.387241 -34.585949)</v>
      </c>
    </row>
    <row r="23" spans="1:2" x14ac:dyDescent="0.4">
      <c r="A23" t="s">
        <v>291</v>
      </c>
      <c r="B23" t="str">
        <f t="shared" si="0"/>
        <v>POINT(-58.395897 -34.590088)</v>
      </c>
    </row>
    <row r="24" spans="1:2" x14ac:dyDescent="0.4">
      <c r="A24" t="s">
        <v>291</v>
      </c>
      <c r="B24" t="str">
        <f t="shared" si="0"/>
        <v>POINT(-58.395897 -34.590088)</v>
      </c>
    </row>
    <row r="25" spans="1:2" x14ac:dyDescent="0.4">
      <c r="A25" t="s">
        <v>293</v>
      </c>
      <c r="B25" t="str">
        <f t="shared" si="0"/>
        <v>POINT(-58.395676 -34.590271)</v>
      </c>
    </row>
    <row r="26" spans="1:2" x14ac:dyDescent="0.4">
      <c r="A26" t="s">
        <v>295</v>
      </c>
      <c r="B26" t="str">
        <f t="shared" si="0"/>
        <v>POINT(-58.391491 -34.588661)</v>
      </c>
    </row>
    <row r="27" spans="1:2" x14ac:dyDescent="0.4">
      <c r="A27" t="s">
        <v>297</v>
      </c>
      <c r="B27" t="str">
        <f t="shared" si="0"/>
        <v>POINT(-58.388203 -34.591473)</v>
      </c>
    </row>
    <row r="28" spans="1:2" x14ac:dyDescent="0.4">
      <c r="A28" t="s">
        <v>299</v>
      </c>
      <c r="B28" t="str">
        <f t="shared" si="0"/>
        <v>POINT(-58.387405 -34.592144)</v>
      </c>
    </row>
    <row r="29" spans="1:2" x14ac:dyDescent="0.4">
      <c r="A29" t="s">
        <v>301</v>
      </c>
      <c r="B29" t="str">
        <f t="shared" si="0"/>
        <v>POINT(-58.385822 -34.592819)</v>
      </c>
    </row>
    <row r="30" spans="1:2" x14ac:dyDescent="0.4">
      <c r="A30" t="s">
        <v>303</v>
      </c>
      <c r="B30" t="str">
        <f t="shared" si="0"/>
        <v>POINT(-58.383381 -34.589275)</v>
      </c>
    </row>
    <row r="31" spans="1:2" x14ac:dyDescent="0.4">
      <c r="A31" t="s">
        <v>305</v>
      </c>
      <c r="B31" t="str">
        <f t="shared" si="0"/>
        <v>POINT(-58.383034 -34.588848)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8CA2F-2EC7-4773-9756-1879DF6D4B61}">
  <dimension ref="A1:A13"/>
  <sheetViews>
    <sheetView workbookViewId="0">
      <selection activeCell="C23" sqref="C23"/>
    </sheetView>
  </sheetViews>
  <sheetFormatPr baseColWidth="10" defaultRowHeight="14.6" x14ac:dyDescent="0.4"/>
  <cols>
    <col min="1" max="1" width="29.23046875" customWidth="1"/>
  </cols>
  <sheetData>
    <row r="1" spans="1:1" x14ac:dyDescent="0.4">
      <c r="A1" t="str" cm="1">
        <f t="array" ref="A1:A13">_xlfn.UNIQUE(limpieza_datos!J2:J76)</f>
        <v>Supermercado Carrefour Express</v>
      </c>
    </row>
    <row r="2" spans="1:1" x14ac:dyDescent="0.4">
      <c r="A2" t="str">
        <v>Carniceria RES</v>
      </c>
    </row>
    <row r="3" spans="1:1" x14ac:dyDescent="0.4">
      <c r="A3" t="str">
        <v>Almacen</v>
      </c>
    </row>
    <row r="4" spans="1:1" x14ac:dyDescent="0.4">
      <c r="A4" t="str">
        <v>Almacen Chino</v>
      </c>
    </row>
    <row r="5" spans="1:1" x14ac:dyDescent="0.4">
      <c r="A5" t="str">
        <v>Carniceria Fiambreria</v>
      </c>
    </row>
    <row r="6" spans="1:1" x14ac:dyDescent="0.4">
      <c r="A6" t="str">
        <v>Verduleria</v>
      </c>
    </row>
    <row r="7" spans="1:1" x14ac:dyDescent="0.4">
      <c r="A7" t="str">
        <v>Supermercado Dia</v>
      </c>
    </row>
    <row r="8" spans="1:1" x14ac:dyDescent="0.4">
      <c r="A8" t="str">
        <v>Fiambreria</v>
      </c>
    </row>
    <row r="9" spans="1:1" x14ac:dyDescent="0.4">
      <c r="A9" t="str">
        <v>Kiosco Mini Market</v>
      </c>
    </row>
    <row r="10" spans="1:1" x14ac:dyDescent="0.4">
      <c r="A10" t="str">
        <v>Supermercado Disco</v>
      </c>
    </row>
    <row r="11" spans="1:1" x14ac:dyDescent="0.4">
      <c r="A11" t="str">
        <v>Supermercado Jumbo</v>
      </c>
    </row>
    <row r="12" spans="1:1" x14ac:dyDescent="0.4">
      <c r="A12" t="str">
        <v>Supermercado Carrefour Market</v>
      </c>
    </row>
    <row r="13" spans="1:1" x14ac:dyDescent="0.4">
      <c r="A13" t="str">
        <v>Carniceria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datos_limpios</vt:lpstr>
      <vt:lpstr>limpieza_datos</vt:lpstr>
      <vt:lpstr>z_datos originales</vt:lpstr>
      <vt:lpstr>solapados_tanda1y2</vt:lpstr>
      <vt:lpstr>Hoja3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Angeles Suarez Anzorena</dc:creator>
  <cp:lastModifiedBy>Angeles Suarez Anzorena</cp:lastModifiedBy>
  <dcterms:created xsi:type="dcterms:W3CDTF">2025-06-15T14:17:23Z</dcterms:created>
  <dcterms:modified xsi:type="dcterms:W3CDTF">2026-03-15T22:06:37Z</dcterms:modified>
</cp:coreProperties>
</file>