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\Documents\00_TESIS\meu_tesis\data\"/>
    </mc:Choice>
  </mc:AlternateContent>
  <xr:revisionPtr revIDLastSave="0" documentId="13_ncr:1_{BB0FB5A6-5091-4DBB-98CA-0F1A71830E38}" xr6:coauthVersionLast="47" xr6:coauthVersionMax="47" xr10:uidLastSave="{00000000-0000-0000-0000-000000000000}"/>
  <bookViews>
    <workbookView xWindow="-103" yWindow="-103" windowWidth="22149" windowHeight="13200" xr2:uid="{7FC3CCF3-7BCA-42E8-BEEE-4B41A7F93BBF}"/>
  </bookViews>
  <sheets>
    <sheet name="datos_limpios" sheetId="7" r:id="rId1"/>
    <sheet name="limpieza_datos" sheetId="1" state="hidden" r:id="rId2"/>
    <sheet name="z_datos originales (2)" sheetId="8" state="hidden" r:id="rId3"/>
    <sheet name="z_datos originales" sheetId="4" state="hidden" r:id="rId4"/>
    <sheet name="solapados_tanda1y3" sheetId="9" state="hidden" r:id="rId5"/>
    <sheet name="solapados_tanda1y2" sheetId="5" state="hidden" r:id="rId6"/>
    <sheet name="Hoja3" sheetId="3" state="hidden" r:id="rId7"/>
    <sheet name="Hoja2" sheetId="2" state="hidden" r:id="rId8"/>
  </sheets>
  <definedNames>
    <definedName name="_xlnm._FilterDatabase" localSheetId="0" hidden="1">datos_limpios!$A$1:$AB$177</definedName>
    <definedName name="_xlnm._FilterDatabase" localSheetId="1" hidden="1">limpieza_datos!$A$1:$AB$176</definedName>
    <definedName name="_xlnm._FilterDatabase" localSheetId="3" hidden="1">'z_datos originales'!$A$1:$AB$129</definedName>
    <definedName name="_xlnm._FilterDatabase" localSheetId="2" hidden="1">'z_datos originales (2)'!$A$1:$AB$141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0" i="1" l="1"/>
  <c r="L90" i="1"/>
  <c r="M90" i="1"/>
  <c r="N90" i="1"/>
  <c r="O90" i="1"/>
  <c r="P90" i="1"/>
  <c r="Q90" i="1"/>
  <c r="K112" i="1"/>
  <c r="L112" i="1"/>
  <c r="M112" i="1"/>
  <c r="N112" i="1"/>
  <c r="O112" i="1"/>
  <c r="P112" i="1"/>
  <c r="Q112" i="1"/>
  <c r="Q102" i="1"/>
  <c r="Q103" i="1"/>
  <c r="Q104" i="1"/>
  <c r="Q105" i="1"/>
  <c r="Q106" i="1"/>
  <c r="Q107" i="1"/>
  <c r="Q108" i="1"/>
  <c r="Q109" i="1"/>
  <c r="Q110" i="1"/>
  <c r="Q111" i="1"/>
  <c r="Q113" i="1"/>
  <c r="Q114" i="1"/>
  <c r="Q115" i="1"/>
  <c r="Q116" i="1"/>
  <c r="Q117" i="1"/>
  <c r="Q118" i="1"/>
  <c r="Q119" i="1"/>
  <c r="Q120" i="1"/>
  <c r="Q101" i="1"/>
  <c r="P102" i="1"/>
  <c r="P103" i="1"/>
  <c r="P104" i="1"/>
  <c r="P105" i="1"/>
  <c r="P106" i="1"/>
  <c r="P107" i="1"/>
  <c r="P108" i="1"/>
  <c r="P109" i="1"/>
  <c r="P110" i="1"/>
  <c r="P111" i="1"/>
  <c r="P113" i="1"/>
  <c r="P114" i="1"/>
  <c r="P115" i="1"/>
  <c r="P116" i="1"/>
  <c r="P117" i="1"/>
  <c r="P118" i="1"/>
  <c r="P119" i="1"/>
  <c r="P120" i="1"/>
  <c r="P101" i="1"/>
  <c r="O102" i="1"/>
  <c r="O103" i="1"/>
  <c r="O104" i="1"/>
  <c r="O105" i="1"/>
  <c r="O106" i="1"/>
  <c r="O107" i="1"/>
  <c r="O108" i="1"/>
  <c r="O109" i="1"/>
  <c r="O110" i="1"/>
  <c r="O111" i="1"/>
  <c r="O113" i="1"/>
  <c r="O114" i="1"/>
  <c r="O115" i="1"/>
  <c r="O116" i="1"/>
  <c r="O117" i="1"/>
  <c r="O118" i="1"/>
  <c r="O119" i="1"/>
  <c r="O120" i="1"/>
  <c r="O101" i="1"/>
  <c r="N102" i="1"/>
  <c r="N103" i="1"/>
  <c r="N104" i="1"/>
  <c r="N105" i="1"/>
  <c r="N106" i="1"/>
  <c r="N107" i="1"/>
  <c r="N108" i="1"/>
  <c r="N109" i="1"/>
  <c r="N110" i="1"/>
  <c r="N111" i="1"/>
  <c r="N113" i="1"/>
  <c r="N114" i="1"/>
  <c r="N115" i="1"/>
  <c r="N116" i="1"/>
  <c r="N117" i="1"/>
  <c r="N118" i="1"/>
  <c r="N119" i="1"/>
  <c r="N120" i="1"/>
  <c r="N101" i="1"/>
  <c r="M102" i="1"/>
  <c r="M103" i="1"/>
  <c r="M104" i="1"/>
  <c r="M105" i="1"/>
  <c r="M106" i="1"/>
  <c r="M107" i="1"/>
  <c r="M108" i="1"/>
  <c r="M109" i="1"/>
  <c r="M110" i="1"/>
  <c r="M111" i="1"/>
  <c r="M113" i="1"/>
  <c r="M114" i="1"/>
  <c r="M115" i="1"/>
  <c r="M116" i="1"/>
  <c r="M117" i="1"/>
  <c r="M118" i="1"/>
  <c r="M119" i="1"/>
  <c r="M120" i="1"/>
  <c r="M101" i="1"/>
  <c r="L111" i="1"/>
  <c r="L113" i="1"/>
  <c r="L114" i="1"/>
  <c r="L115" i="1"/>
  <c r="L116" i="1"/>
  <c r="L117" i="1"/>
  <c r="L118" i="1"/>
  <c r="L119" i="1"/>
  <c r="L120" i="1"/>
  <c r="L102" i="1"/>
  <c r="L103" i="1"/>
  <c r="L104" i="1"/>
  <c r="L105" i="1"/>
  <c r="L106" i="1"/>
  <c r="L107" i="1"/>
  <c r="L108" i="1"/>
  <c r="L109" i="1"/>
  <c r="L110" i="1"/>
  <c r="L101" i="1"/>
  <c r="K116" i="1"/>
  <c r="K117" i="1"/>
  <c r="K118" i="1"/>
  <c r="K119" i="1"/>
  <c r="K120" i="1"/>
  <c r="K102" i="1"/>
  <c r="K103" i="1"/>
  <c r="K104" i="1"/>
  <c r="K105" i="1"/>
  <c r="K106" i="1"/>
  <c r="K107" i="1"/>
  <c r="K108" i="1"/>
  <c r="K109" i="1"/>
  <c r="K110" i="1"/>
  <c r="K111" i="1"/>
  <c r="K113" i="1"/>
  <c r="K114" i="1"/>
  <c r="K115" i="1"/>
  <c r="K101" i="1"/>
  <c r="P30" i="9"/>
  <c r="Q71" i="9"/>
  <c r="Q67" i="9" a="1"/>
  <c r="Q67" i="9" s="1"/>
  <c r="Q60" i="9" a="1"/>
  <c r="Q60" i="9" s="1"/>
  <c r="Q53" i="9" a="1"/>
  <c r="Q53" i="9" s="1"/>
  <c r="Q46" i="9" a="1"/>
  <c r="Q46" i="9" s="1"/>
  <c r="Q45" i="9"/>
  <c r="Q38" i="9" a="1"/>
  <c r="Q38" i="9" s="1"/>
  <c r="Q37" i="9"/>
  <c r="Q34" i="9" a="1"/>
  <c r="Q34" i="9" s="1"/>
  <c r="Q30" i="9" a="1"/>
  <c r="Q30" i="9" s="1"/>
  <c r="O29" i="9"/>
  <c r="O26" i="9"/>
  <c r="N26" i="9"/>
  <c r="M26" i="9"/>
  <c r="L26" i="9"/>
  <c r="Q23" i="9"/>
  <c r="P23" i="9"/>
  <c r="O23" i="9"/>
  <c r="N23" i="9"/>
  <c r="M23" i="9"/>
  <c r="L23" i="9"/>
  <c r="K23" i="9"/>
  <c r="Q20" i="9"/>
  <c r="P20" i="9"/>
  <c r="O20" i="9"/>
  <c r="N20" i="9"/>
  <c r="M20" i="9"/>
  <c r="L20" i="9"/>
  <c r="K20" i="9"/>
  <c r="Q17" i="9"/>
  <c r="P17" i="9"/>
  <c r="O17" i="9"/>
  <c r="N17" i="9"/>
  <c r="M17" i="9"/>
  <c r="L17" i="9"/>
  <c r="K17" i="9"/>
  <c r="Q14" i="9"/>
  <c r="Q11" i="9"/>
  <c r="P11" i="9"/>
  <c r="O11" i="9"/>
  <c r="N11" i="9"/>
  <c r="M11" i="9"/>
  <c r="L11" i="9"/>
  <c r="K11" i="9"/>
  <c r="P8" i="9"/>
  <c r="M8" i="9"/>
  <c r="L8" i="9"/>
  <c r="K8" i="9"/>
  <c r="M5" i="9"/>
  <c r="N5" i="9"/>
  <c r="O5" i="9"/>
  <c r="L5" i="9"/>
  <c r="P21" i="9"/>
  <c r="P19" i="9"/>
  <c r="P141" i="8"/>
  <c r="P107" i="8"/>
  <c r="P103" i="8"/>
  <c r="P101" i="8"/>
  <c r="P97" i="8"/>
  <c r="P95" i="8"/>
  <c r="P93" i="8"/>
  <c r="P89" i="8"/>
  <c r="P86" i="8"/>
  <c r="P84" i="8"/>
  <c r="O83" i="8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P93" i="4"/>
  <c r="O25" i="5"/>
  <c r="Q49" i="5" s="1"/>
  <c r="N19" i="5"/>
  <c r="M19" i="5"/>
  <c r="L19" i="5"/>
  <c r="K19" i="5"/>
  <c r="Q16" i="5"/>
  <c r="Q42" i="5" s="1"/>
  <c r="N13" i="5"/>
  <c r="M13" i="5"/>
  <c r="L13" i="5"/>
  <c r="K13" i="5"/>
  <c r="L7" i="5"/>
  <c r="M7" i="5"/>
  <c r="N7" i="5"/>
  <c r="K7" i="5"/>
  <c r="O4" i="5"/>
  <c r="Q31" i="5" s="1"/>
  <c r="O21" i="5"/>
  <c r="O22" i="5" s="1"/>
  <c r="Q48" i="5" s="1"/>
  <c r="P18" i="5"/>
  <c r="P19" i="5" s="1"/>
  <c r="Q47" i="5" s="1"/>
  <c r="P9" i="5"/>
  <c r="P10" i="5" s="1"/>
  <c r="Q37" i="5" s="1"/>
  <c r="P6" i="5"/>
  <c r="P7" i="5" s="1"/>
  <c r="Q36" i="5" s="1"/>
  <c r="P107" i="4"/>
  <c r="P103" i="4"/>
  <c r="P101" i="4"/>
  <c r="P97" i="4"/>
  <c r="P95" i="4"/>
  <c r="P89" i="4"/>
  <c r="P86" i="4"/>
  <c r="P84" i="4"/>
  <c r="O83" i="4"/>
  <c r="B22" i="3"/>
  <c r="B23" i="3"/>
  <c r="B24" i="3"/>
  <c r="B25" i="3"/>
  <c r="B26" i="3"/>
  <c r="B27" i="3"/>
  <c r="B28" i="3"/>
  <c r="B29" i="3"/>
  <c r="B30" i="3"/>
  <c r="B31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3" i="3"/>
  <c r="A1" i="2" a="1"/>
  <c r="A1" i="2" s="1"/>
  <c r="Q38" i="5" l="1" a="1"/>
  <c r="Q38" i="5" s="1"/>
  <c r="Q43" i="5" a="1"/>
  <c r="Q43" i="5" s="1"/>
  <c r="Q32" i="5" a="1"/>
  <c r="Q32" i="5" s="1"/>
  <c r="P31" i="5" l="1"/>
  <c r="Q93" i="1" s="1"/>
  <c r="M82" i="1" l="1"/>
  <c r="L97" i="1"/>
  <c r="P93" i="1"/>
  <c r="N87" i="1"/>
  <c r="L89" i="1"/>
  <c r="M93" i="1"/>
  <c r="Q89" i="1"/>
  <c r="N89" i="1"/>
  <c r="P81" i="1"/>
  <c r="N96" i="1"/>
  <c r="M78" i="1"/>
  <c r="K99" i="1"/>
  <c r="Q88" i="1"/>
  <c r="O95" i="1"/>
  <c r="N88" i="1"/>
  <c r="P85" i="1"/>
  <c r="K79" i="1"/>
  <c r="P95" i="1"/>
  <c r="O82" i="1"/>
  <c r="Q97" i="1"/>
  <c r="M97" i="1"/>
  <c r="P84" i="1"/>
  <c r="L78" i="1"/>
  <c r="N98" i="1"/>
  <c r="Q80" i="1"/>
  <c r="M81" i="1"/>
  <c r="P78" i="1"/>
  <c r="K95" i="1"/>
  <c r="N80" i="1"/>
  <c r="Q83" i="1"/>
  <c r="P98" i="1"/>
  <c r="L82" i="1"/>
  <c r="O84" i="1"/>
  <c r="Q86" i="1"/>
  <c r="N94" i="1"/>
  <c r="K91" i="1"/>
  <c r="L99" i="1"/>
  <c r="Q99" i="1"/>
  <c r="N86" i="1"/>
  <c r="K83" i="1"/>
  <c r="M94" i="1"/>
  <c r="L88" i="1"/>
  <c r="Q98" i="1"/>
  <c r="O92" i="1"/>
  <c r="N85" i="1"/>
  <c r="L93" i="1"/>
  <c r="K82" i="1"/>
  <c r="Q91" i="1"/>
  <c r="M79" i="1"/>
  <c r="M86" i="1"/>
  <c r="L80" i="1"/>
  <c r="K85" i="1"/>
  <c r="N91" i="1"/>
  <c r="P87" i="1"/>
  <c r="L94" i="1"/>
  <c r="O96" i="1"/>
  <c r="Q96" i="1"/>
  <c r="M89" i="1"/>
  <c r="L83" i="1"/>
  <c r="O85" i="1"/>
  <c r="Q94" i="1"/>
  <c r="M92" i="1"/>
  <c r="P79" i="1"/>
  <c r="L86" i="1"/>
  <c r="O78" i="1"/>
  <c r="K89" i="1"/>
  <c r="N78" i="1"/>
  <c r="P91" i="1"/>
  <c r="L96" i="1"/>
  <c r="K78" i="1"/>
  <c r="N83" i="1"/>
  <c r="K88" i="1"/>
  <c r="O98" i="1"/>
  <c r="O80" i="1"/>
  <c r="M84" i="1"/>
  <c r="N97" i="1"/>
  <c r="K80" i="1"/>
  <c r="O91" i="1"/>
  <c r="L92" i="1"/>
  <c r="O94" i="1"/>
  <c r="N79" i="1"/>
  <c r="Q82" i="1"/>
  <c r="M95" i="1"/>
  <c r="L81" i="1"/>
  <c r="K92" i="1"/>
  <c r="P94" i="1"/>
  <c r="N99" i="1"/>
  <c r="M96" i="1"/>
  <c r="N81" i="1"/>
  <c r="M80" i="1"/>
  <c r="P86" i="1"/>
  <c r="O87" i="1"/>
  <c r="P96" i="1"/>
  <c r="L95" i="1"/>
  <c r="O97" i="1"/>
  <c r="K84" i="1"/>
  <c r="Q78" i="1"/>
  <c r="L84" i="1"/>
  <c r="O86" i="1"/>
  <c r="Q95" i="1"/>
  <c r="M88" i="1"/>
  <c r="P97" i="1"/>
  <c r="L87" i="1"/>
  <c r="N95" i="1"/>
  <c r="M91" i="1"/>
  <c r="P99" i="1"/>
  <c r="L98" i="1"/>
  <c r="O79" i="1"/>
  <c r="K86" i="1"/>
  <c r="N92" i="1"/>
  <c r="P88" i="1"/>
  <c r="O88" i="1"/>
  <c r="M98" i="1"/>
  <c r="K81" i="1"/>
  <c r="P80" i="1"/>
  <c r="M85" i="1"/>
  <c r="Q92" i="1"/>
  <c r="K94" i="1"/>
  <c r="P82" i="1"/>
  <c r="O83" i="1"/>
  <c r="M99" i="1"/>
  <c r="K93" i="1"/>
  <c r="Q81" i="1"/>
  <c r="P83" i="1"/>
  <c r="K96" i="1"/>
  <c r="Q84" i="1"/>
  <c r="L85" i="1"/>
  <c r="M87" i="1"/>
  <c r="M83" i="1"/>
  <c r="O89" i="1"/>
  <c r="K97" i="1"/>
  <c r="N82" i="1"/>
  <c r="Q85" i="1"/>
  <c r="O99" i="1"/>
  <c r="K87" i="1"/>
  <c r="N93" i="1"/>
  <c r="P89" i="1"/>
  <c r="L79" i="1"/>
  <c r="O81" i="1"/>
  <c r="P92" i="1"/>
  <c r="L91" i="1"/>
  <c r="O93" i="1"/>
  <c r="K98" i="1"/>
  <c r="N84" i="1"/>
  <c r="Q87" i="1"/>
  <c r="Q7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<sst xmlns="http://schemas.openxmlformats.org/spreadsheetml/2006/main" count="4888" uniqueCount="811">
  <si>
    <t>Calle</t>
  </si>
  <si>
    <t>Altura</t>
  </si>
  <si>
    <t>direccion</t>
  </si>
  <si>
    <t>ID_direcciones</t>
  </si>
  <si>
    <t>Rubro</t>
  </si>
  <si>
    <t>leche</t>
  </si>
  <si>
    <t>azucar</t>
  </si>
  <si>
    <t>arroz</t>
  </si>
  <si>
    <t>papa</t>
  </si>
  <si>
    <t>fiambre/jc</t>
  </si>
  <si>
    <t>carne pic</t>
  </si>
  <si>
    <t>¿Cuáles son los principales factores que encarecen los productos que vendés?</t>
  </si>
  <si>
    <t>Inquilino/ Propietario</t>
  </si>
  <si>
    <t>Alquiler</t>
  </si>
  <si>
    <t>Dificultades para abastecerse, otros comentarios</t>
  </si>
  <si>
    <t>relevado</t>
  </si>
  <si>
    <t>numero real</t>
  </si>
  <si>
    <t>https://maps.google.com/maps?q=-34.59994888305664%2C-58.37699508666992&amp;z=17&amp;hl=es</t>
  </si>
  <si>
    <t>link</t>
  </si>
  <si>
    <t>https://maps.google.com/maps?q=-34.59996032714844%2C-58.37679672241211&amp;z=17&amp;hl=es</t>
  </si>
  <si>
    <t>Supermercado Carrefour Express</t>
  </si>
  <si>
    <t>Carniceria RES</t>
  </si>
  <si>
    <t>https://maps.google.com/maps?q=-34.599769592285156%2C-58.376834869384766&amp;z=17&amp;hl=es</t>
  </si>
  <si>
    <t>https://maps.google.com/maps?q=-34.598236083984375%2C-58.376956939697266&amp;z=17&amp;hl=es</t>
  </si>
  <si>
    <t>Almacen Chino</t>
  </si>
  <si>
    <t>si</t>
  </si>
  <si>
    <t>no</t>
  </si>
  <si>
    <t>https://maps.google.com/maps?q=-34.59791946411133%2C-58.37689971923828&amp;z=17&amp;hl=es</t>
  </si>
  <si>
    <t>Carniceria Fiambreria</t>
  </si>
  <si>
    <t>https://maps.google.com/maps?q=-34.59733581542969%2C-58.37691879272461&amp;z=17&amp;hl=es</t>
  </si>
  <si>
    <t>https://maps.google.com/maps?q=-34.596309661865234%2C-58.37836837768555&amp;z=17&amp;hl=es</t>
  </si>
  <si>
    <t>https://maps.google.com/maps?q=-34.59626770019531%2C-58.37843322753906&amp;z=17&amp;hl=es</t>
  </si>
  <si>
    <t>https://maps.google.com/maps?q=-34.59589767456055%2C-58.37848663330078&amp;z=17&amp;hl=es</t>
  </si>
  <si>
    <t>https://maps.google.com/maps?q=-34.5966682434082%2C-58.37837600708008&amp;z=17&amp;hl=es</t>
  </si>
  <si>
    <t>https://maps.google.com/maps?q=-34.59672546386719%2C-58.37849044799805&amp;z=17&amp;hl=es</t>
  </si>
  <si>
    <t>Verduleria</t>
  </si>
  <si>
    <t>https://maps.google.com/maps?q=-34.59750747680664%2C-58.3781852722168&amp;z=17&amp;hl=es</t>
  </si>
  <si>
    <t>Supermercado Dia</t>
  </si>
  <si>
    <t>https://maps.google.com/maps?q=-34.59797668457031%2C-58.378299713134766&amp;z=17&amp;hl=es</t>
  </si>
  <si>
    <t>https://maps.google.com/maps?q=-34.598628997802734%2C-58.37840270996094&amp;z=17&amp;hl=es</t>
  </si>
  <si>
    <t>https://maps.google.com/maps?q=-34.60411071777344%2C-58.3782844543457&amp;z=17&amp;hl=es</t>
  </si>
  <si>
    <t>https://maps.google.com/maps?q=-34.60270690917969%2C-58.37809371948242&amp;z=17&amp;hl=es</t>
  </si>
  <si>
    <t>https://maps.google.com/maps?q=-34.60324478149414%2C-58.3781623840332&amp;z=17&amp;hl=es</t>
  </si>
  <si>
    <t>https://maps.google.com/maps?q=-34.601531982421875%2C-58.37953186035156&amp;z=17&amp;hl=es</t>
  </si>
  <si>
    <t>https://maps.google.com/maps?q=-34.599891662597656%2C-58.37984848022461&amp;z=17&amp;hl=es</t>
  </si>
  <si>
    <t>https://maps.google.com/maps?q=-34.599876403808594%2C-58.379634857177734&amp;z=17&amp;hl=es</t>
  </si>
  <si>
    <t>https://maps.google.com/maps?q=-34.59871292114258%2C-58.37973403930664&amp;z=17&amp;hl=es</t>
  </si>
  <si>
    <t>Almacen</t>
  </si>
  <si>
    <t>https://maps.google.com/maps?q=-34.5986896%2C-58.3797565&amp;z=17&amp;hl=es</t>
  </si>
  <si>
    <t>https://maps.google.com/maps?q=-34.598295%2C-58.3797894&amp;z=17&amp;hl=es</t>
  </si>
  <si>
    <t>https://maps.google.com/maps?q=-34.5980989%2C-58.3797356&amp;z=17&amp;hl=es</t>
  </si>
  <si>
    <t>https://maps.google.com/maps?q=-34.5971262%2C-58.3798431&amp;z=17&amp;hl=es</t>
  </si>
  <si>
    <t>https://maps.google.com/maps?q=-34.59231185913086%2C-58.37621307373047&amp;z=17&amp;hl=es</t>
  </si>
  <si>
    <t>marca_temp_CEST</t>
  </si>
  <si>
    <t>https://maps.google.com/maps?q=-34.58771896362305%2C-58.38430404663086&amp;z=17&amp;hl=es</t>
  </si>
  <si>
    <t>https://maps.google.com/maps?q=-34.586002349853516%2C-58.387351989746094&amp;z=17&amp;hl=es</t>
  </si>
  <si>
    <t>https://maps.google.com/maps?q=-34.585933685302734%2C-58.387969970703125&amp;z=17&amp;hl=es</t>
  </si>
  <si>
    <t>https://maps.google.com/maps?q=-34.5875244140625%2C-58.38737106323242&amp;z=17&amp;hl=es</t>
  </si>
  <si>
    <t>Kiosco Mini Market</t>
  </si>
  <si>
    <t>https://maps.google.com/maps?q=-34.59185791015625%2C-58.378448486328125&amp;z=17&amp;hl=es</t>
  </si>
  <si>
    <t>Supermercado Disco</t>
  </si>
  <si>
    <t>Supermercado Jumbo</t>
  </si>
  <si>
    <t>https://www.google.com/maps?q=-34.594242095947266,-58.38105392456055&amp;z=17&amp;hl=es</t>
  </si>
  <si>
    <t>https://www.google.com/maps?q=-34.5941162109375,-58.37980270385742&amp;z=17&amp;hl=es</t>
  </si>
  <si>
    <t>https://www.google.com/maps?q=-34.59412384033203,-58.37968444824219&amp;z=17&amp;hl=es</t>
  </si>
  <si>
    <t>https://www.google.com/maps?q=-34.594486236572266,-58.381168365478516&amp;z=17&amp;hl=es</t>
  </si>
  <si>
    <t>Fiambreria</t>
  </si>
  <si>
    <t>https://www.google.com/maps?q=-34.595272064208984,-58.39004898071289&amp;z=17&amp;hl=es</t>
  </si>
  <si>
    <t>https://www.google.com/maps?q=-34.595726013183594,-58.39558029174805&amp;z=17&amp;hl=es</t>
  </si>
  <si>
    <t>Supermercado Carrefour Market</t>
  </si>
  <si>
    <t>https://www.google.com/maps?q=-34.59343338012695,-58.39544677734375&amp;z=17&amp;hl=es</t>
  </si>
  <si>
    <t>https://www.google.com/maps?q=-34.594173431396484,-58.390567779541016&amp;z=17&amp;hl=es</t>
  </si>
  <si>
    <t>https://www.google.com/maps?q=-34.592796325683594,-58.385894775390625&amp;z=17&amp;hl=es</t>
  </si>
  <si>
    <t>https://www.google.com/maps?q=-34.59281921386719,-58.38087463378906&amp;z=17&amp;hl=es</t>
  </si>
  <si>
    <t>https://www.google.com/maps?q=-34.59286880493164,-58.37950897216797&amp;z=17&amp;hl=es</t>
  </si>
  <si>
    <t>https://www.google.com/maps?q=-34.595916748046875,-58.37848663330078&amp;z=17&amp;hl=es</t>
  </si>
  <si>
    <t>https://www.google.com/maps?q=-34.596309661865234,-58.37841796875&amp;z=17&amp;hl=es</t>
  </si>
  <si>
    <t>https://www.google.com/maps?q=-34.5966682434082,-58.380836486816406&amp;z=17&amp;hl=es</t>
  </si>
  <si>
    <t>https://www.google.com/maps?q=-34.597015380859375,-58.386722564697266&amp;z=17&amp;hl=es</t>
  </si>
  <si>
    <t>https://www.google.com/maps?q=-34.597110748291016,-58.38776779174805&amp;z=17&amp;hl=es</t>
  </si>
  <si>
    <t>https://www.google.com/maps?q=-34.596981048583984,-58.391845703125&amp;z=17&amp;hl=es</t>
  </si>
  <si>
    <t>https://www.google.com/maps?q=-34.597049713134766,-58.3918571472168&amp;z=17&amp;hl=es</t>
  </si>
  <si>
    <t>https://www.google.com/maps?q=-34.59523391723633,-58.39204406738281&amp;z=17&amp;hl=es</t>
  </si>
  <si>
    <t>https://maps.app.goo.gl/NnzZjF3J42cx8rry5</t>
  </si>
  <si>
    <t>https://www.google.com/maps?q=-34.59260940551758,-58.39096450805664&amp;z=17&amp;hl=es</t>
  </si>
  <si>
    <t>https://www.google.com/maps?q=-34.59233474731445,-58.39065933227539&amp;z=17&amp;hl=es</t>
  </si>
  <si>
    <t>https://www.google.com/maps?q=-34.59212875366211,-58.39039993286133&amp;z=17&amp;hl=es</t>
  </si>
  <si>
    <t>Carniceria</t>
  </si>
  <si>
    <t>https://www.google.com/maps?q=-34.59202194213867,-58.39025115966797&amp;z=17&amp;hl=es</t>
  </si>
  <si>
    <t>https://www.google.com/maps?q=-34.591915130615234,-58.39011001586914&amp;z=17&amp;hl=es</t>
  </si>
  <si>
    <t>https://www.google.com/maps?q=-34.59193801879883,-58.3901481628418&amp;z=17&amp;hl=es</t>
  </si>
  <si>
    <t>https://www.google.com/maps?q=-34.59187698364258,-58.39030838012695&amp;z=17&amp;hl=es</t>
  </si>
  <si>
    <t>https://www.google.com/maps?q=-34.591819763183594,-58.38996887207031&amp;z=17&amp;hl=es</t>
  </si>
  <si>
    <t>https://www.google.com/maps?q=-34.591373443603516,-58.389549255371094&amp;z=17&amp;hl=es</t>
  </si>
  <si>
    <t>https://www.google.com/maps?q=-34.59014892578125,-58.388126373291016&amp;z=17&amp;hl=es</t>
  </si>
  <si>
    <t>https://www.google.com/maps?q=-34.592044830322266,-58.39152145385742&amp;z=17&amp;hl=es</t>
  </si>
  <si>
    <t>https://www.google.com/maps?q=-34.59115219116211,-58.39268493652344&amp;z=17&amp;hl=es</t>
  </si>
  <si>
    <t>https://www.google.com/maps?q=-34.59111022949219,-58.39280319213867&amp;z=17&amp;hl=es</t>
  </si>
  <si>
    <t>https://www.google.com/maps?q=-34.59097671508789,-58.39504623413086&amp;z=17&amp;hl=es</t>
  </si>
  <si>
    <t>fecha_hora_cest</t>
  </si>
  <si>
    <t>POINT(-58.376946823984355 -34.599772246759564)</t>
  </si>
  <si>
    <t>POINT(-58.37675915281983 -34.599783646783784)</t>
  </si>
  <si>
    <t>POINT(-58.39159890397613 -34.592840347247986)</t>
  </si>
  <si>
    <t>POINT(-58.390686125833184 -34.59214036631195)</t>
  </si>
  <si>
    <t>POINT(-58.390480370010486 -34.59189913721304)</t>
  </si>
  <si>
    <t>POINT(-58.390202923984674 -34.591801069084674)</t>
  </si>
  <si>
    <t>POINT(-58.39010463932667 -34.591711933155025)</t>
  </si>
  <si>
    <t>POINT(-58.39019648350406 -34.591734833211085)</t>
  </si>
  <si>
    <t>POINT(-58.39034595466865 -34.59173565830041)</t>
  </si>
  <si>
    <t>POINT(-58.38994208165563 -34.59166079384194)</t>
  </si>
  <si>
    <t>POINT(-58.38958685466864 -34.59115256736145)</t>
  </si>
  <si>
    <t>POINT(-58.38813176816218 -34.589919231741334)</t>
  </si>
  <si>
    <t>POINT(-58.39152686816208 -34.59187696211415)</t>
  </si>
  <si>
    <t>POINT(-58.39287294117505 -34.590880534397805)</t>
  </si>
  <si>
    <t>POINT(-58.394997923984896 -34.59080002768448)</t>
  </si>
  <si>
    <t>POINT(-58.39095913932674 -34.59236207432891)</t>
  </si>
  <si>
    <t>POINT(-58.376872454668245 -34.59954878967517)</t>
  </si>
  <si>
    <t>POINT(-58.37690862398452 -34.59804178011319)</t>
  </si>
  <si>
    <t>POINT(-58.37691579699724 -34.597707516297156)</t>
  </si>
  <si>
    <t>POINT(-58.37692416816192 -34.59711498320661)</t>
  </si>
  <si>
    <t>POINT(-58.37833085282006 -34.59612420731531)</t>
  </si>
  <si>
    <t>POINT(-58.37836346631361 -34.59609103893263)</t>
  </si>
  <si>
    <t>POINT(-58.37839540864261 -34.59571220639564)</t>
  </si>
  <si>
    <t>POINT(-58.378327723984455 -34.596403223057045)</t>
  </si>
  <si>
    <t>POINT(-58.37844212398452 -34.59655767156747)</t>
  </si>
  <si>
    <t>POINT(-58.378201396997426 -34.597295515245946)</t>
  </si>
  <si>
    <t>POINT(-58.378272881655505 -34.59776471644315)</t>
  </si>
  <si>
    <t>POINT(-58.3784617123392 -34.59848766978374)</t>
  </si>
  <si>
    <t>POINT(-58.37825768165517 -34.603881070332164)</t>
  </si>
  <si>
    <t>POINT(-58.37807761049078 -34.60250375954193)</t>
  </si>
  <si>
    <t>POINT(-58.378135581655215 -34.60302399891231)</t>
  </si>
  <si>
    <t>POINT(-58.379472895148915 -34.60132885666888)</t>
  </si>
  <si>
    <t>POINT(-58.37983241049086 -34.599679721329295)</t>
  </si>
  <si>
    <t>POINT(-58.37975009699739 -34.59856273847909)</t>
  </si>
  <si>
    <t>POINT(-58.379740410490925 -34.59846878680459)</t>
  </si>
  <si>
    <t>POINT(-58.379773310490876 -34.59810951174743)</t>
  </si>
  <si>
    <t>POINT(-58.3797624258329 -34.59795756888206)</t>
  </si>
  <si>
    <t>POINT(-58.379805552819946 -34.59694954075799)</t>
  </si>
  <si>
    <t>POINT(-58.376207739326574 -34.592117566258686)</t>
  </si>
  <si>
    <t>POINT(-58.384298639326836 -34.587533488139755)</t>
  </si>
  <si>
    <t>POINT(-58.38738955466894 -34.58580795150509)</t>
  </si>
  <si>
    <t>POINT(-58.38795391049146 -34.585721685720785)</t>
  </si>
  <si>
    <t>POINT(-58.38743011233964 -34.58733888770553)</t>
  </si>
  <si>
    <t>POINT(-58.3784753258331 -34.59167239737799)</t>
  </si>
  <si>
    <t>POINT(-58.38104853932667 -34.59403893884416)</t>
  </si>
  <si>
    <t>POINT(-58.37982952583306 -34.59393953435863)</t>
  </si>
  <si>
    <t>POINT(-58.37971122583305 -34.59394713437477)</t>
  </si>
  <si>
    <t>POINT(-58.381227412339314 -34.59430070324479)</t>
  </si>
  <si>
    <t>POINT(-58.39003291049102 -34.595077773181245)</t>
  </si>
  <si>
    <t>POINT(-58.395639312339405 -34.595505178928306)</t>
  </si>
  <si>
    <t>POINT(-58.395484354668504 -34.59323906888116)</t>
  </si>
  <si>
    <t>POINT(-58.39057316816209 -34.5940408941348)</t>
  </si>
  <si>
    <t>POINT(-58.38591089699757 -34.59260196739151)</t>
  </si>
  <si>
    <t>POINT(-58.380826323984714 -34.5926955240478)</t>
  </si>
  <si>
    <t>POINT(-58.37947145282013 -34.592665635486746)</t>
  </si>
  <si>
    <t>POINT(-58.378459781655636 -34.59576653342594)</t>
  </si>
  <si>
    <t>POINT(-58.37846628350382 -34.59605355362885)</t>
  </si>
  <si>
    <t>POINT(-58.38085259699755 -34.59652686644874)</t>
  </si>
  <si>
    <t>POINT(-58.38674942583296 -34.59683874052231)</t>
  </si>
  <si>
    <t>POINT(-58.39182961049093 -34.596830835349316)</t>
  </si>
  <si>
    <t>POINT(-58.39184101049094 -34.59689070384834)</t>
  </si>
  <si>
    <t>POINT(-58.39207092583292 -34.59507490037388)</t>
  </si>
  <si>
    <t>csp_0001</t>
  </si>
  <si>
    <t>csp_0002</t>
  </si>
  <si>
    <t>csp_0003</t>
  </si>
  <si>
    <t>csp_0004</t>
  </si>
  <si>
    <t>csp_0005</t>
  </si>
  <si>
    <t>csp_0006</t>
  </si>
  <si>
    <t>csp_0007</t>
  </si>
  <si>
    <t>csp_0008</t>
  </si>
  <si>
    <t>csp_0009</t>
  </si>
  <si>
    <t>csp_0010</t>
  </si>
  <si>
    <t>csp_0011</t>
  </si>
  <si>
    <t>csp_0012</t>
  </si>
  <si>
    <t>csp_0013</t>
  </si>
  <si>
    <t>csp_0014</t>
  </si>
  <si>
    <t>csp_0015</t>
  </si>
  <si>
    <t>csp_0016</t>
  </si>
  <si>
    <t>csp_0017</t>
  </si>
  <si>
    <t>csp_0018</t>
  </si>
  <si>
    <t>csp_0019</t>
  </si>
  <si>
    <t>csp_0020</t>
  </si>
  <si>
    <t>csp_0021</t>
  </si>
  <si>
    <t>csp_0022</t>
  </si>
  <si>
    <t>csp_0023</t>
  </si>
  <si>
    <t>csp_0024</t>
  </si>
  <si>
    <t>csp_0025</t>
  </si>
  <si>
    <t>csp_0026</t>
  </si>
  <si>
    <t>csp_0027</t>
  </si>
  <si>
    <t>csp_0028</t>
  </si>
  <si>
    <t>csp_0029</t>
  </si>
  <si>
    <t>csp_0030</t>
  </si>
  <si>
    <t>csp_0031</t>
  </si>
  <si>
    <t>csp_0032</t>
  </si>
  <si>
    <t>csp_0033</t>
  </si>
  <si>
    <t>csp_0034</t>
  </si>
  <si>
    <t>csp_0035</t>
  </si>
  <si>
    <t>csp_0036</t>
  </si>
  <si>
    <t>csp_0037</t>
  </si>
  <si>
    <t>csp_0038</t>
  </si>
  <si>
    <t>csp_0039</t>
  </si>
  <si>
    <t>csp_0040</t>
  </si>
  <si>
    <t>csp_0041</t>
  </si>
  <si>
    <t>csp_0042</t>
  </si>
  <si>
    <t>csp_0043</t>
  </si>
  <si>
    <t>csp_0044</t>
  </si>
  <si>
    <t>csp_0045</t>
  </si>
  <si>
    <t>csp_0046</t>
  </si>
  <si>
    <t>csp_0047</t>
  </si>
  <si>
    <t>csp_0048</t>
  </si>
  <si>
    <t>csp_0049</t>
  </si>
  <si>
    <t>csp_0050</t>
  </si>
  <si>
    <t>csp_0051</t>
  </si>
  <si>
    <t>csp_0052</t>
  </si>
  <si>
    <t>csp_0053</t>
  </si>
  <si>
    <t>csp_0054</t>
  </si>
  <si>
    <t>csp_0055</t>
  </si>
  <si>
    <t>csp_0056</t>
  </si>
  <si>
    <t>csp_0057</t>
  </si>
  <si>
    <t>csp_0058</t>
  </si>
  <si>
    <t>csp_0059</t>
  </si>
  <si>
    <t>csp_0060</t>
  </si>
  <si>
    <t>csp_0061</t>
  </si>
  <si>
    <t>csp_0062</t>
  </si>
  <si>
    <t>csp_0063</t>
  </si>
  <si>
    <t>csp_0064</t>
  </si>
  <si>
    <t>csp_0065</t>
  </si>
  <si>
    <t>csp_0066</t>
  </si>
  <si>
    <t>csp_0067</t>
  </si>
  <si>
    <t>csp_0068</t>
  </si>
  <si>
    <t>csp_0069</t>
  </si>
  <si>
    <t>csp_0070</t>
  </si>
  <si>
    <t>csp_0071</t>
  </si>
  <si>
    <t>csp_0072</t>
  </si>
  <si>
    <t>csp_0073</t>
  </si>
  <si>
    <t>csp_0074</t>
  </si>
  <si>
    <t>csp_0075</t>
  </si>
  <si>
    <t>geometry</t>
  </si>
  <si>
    <t>POINT(-58.379683183503644 -34.599664421290306)</t>
  </si>
  <si>
    <t>POINT(-58.39263662398475 -34.59092253451398)</t>
  </si>
  <si>
    <t>id_comercio</t>
  </si>
  <si>
    <t>sector_bm</t>
  </si>
  <si>
    <t>(U marca de cada producto, y pocos ejemplares por producto. muy poco provisto)</t>
  </si>
  <si>
    <t>harina</t>
  </si>
  <si>
    <t>cadena</t>
  </si>
  <si>
    <t>POINT(-58.394901 -34.589634)</t>
  </si>
  <si>
    <t>https://www.google.com/maps/place/34%C2%B035'23.0%22S+58%C2%B023'40.3%22W/@-34.5897331,-58.3971023,17z/data=!3m1!4b1!4m4!3m3!8m2!3d-34.5897331!4d-58.3945274?hl=es&amp;entry=ttu&amp;g_ep=EgoyMDI2MDMwOC4wIKXMDSoASAFQAw%3D%3D</t>
  </si>
  <si>
    <t>https://www.google.com/maps?q=-34.589942932128906,-58.39411926269531&amp;z=17&amp;hl=es</t>
  </si>
  <si>
    <t>-34.589943, -58.394119</t>
  </si>
  <si>
    <t>https://www.google.com/maps?q=-34.59031295776367,-58.39366912841797&amp;z=17&amp;hl=es</t>
  </si>
  <si>
    <t>-34.590313, -58.393669</t>
  </si>
  <si>
    <t>https://www.google.com/maps?q=-34.59075164794922,-58.39310073852539&amp;z=17&amp;hl=es</t>
  </si>
  <si>
    <t>-34.590752, -58.393101</t>
  </si>
  <si>
    <t>https://www.google.com/maps?q=-34.59121322631836,-58.39257049560547&amp;z=17&amp;hl=es</t>
  </si>
  <si>
    <t>-34.591213, -58.392571</t>
  </si>
  <si>
    <t>https://www.google.com/maps?q=-34.59210205078125,-58.39177703857422&amp;z=17&amp;hl=es</t>
  </si>
  <si>
    <t>-34.592102, -58.391777</t>
  </si>
  <si>
    <t>https://www.google.com/maps?q=-34.592506408691406,-58.39102554321289&amp;z=17&amp;hl=es</t>
  </si>
  <si>
    <t>-34.592506, -58.391026</t>
  </si>
  <si>
    <t>tanda</t>
  </si>
  <si>
    <t>https://www.google.com/maps?q=-34.59082794189453,-58.39295196533203&amp;z=17&amp;hl=es</t>
  </si>
  <si>
    <t>-34.590828, -58.392952</t>
  </si>
  <si>
    <t>https://www.google.com/maps?q=-34.5910758972168,-58.390586853027344&amp;z=17&amp;hl=es</t>
  </si>
  <si>
    <t>-34.591076, -58.390587</t>
  </si>
  <si>
    <t>https://www.google.com/maps?q=-34.59125900268555,-58.39048385620117&amp;z=17&amp;hl=es</t>
  </si>
  <si>
    <t>-34.591259, -58.390484</t>
  </si>
  <si>
    <t>https://www.google.com/maps?q=-34.59193801879883,-58.389732360839844&amp;z=17&amp;hl=es</t>
  </si>
  <si>
    <t>-34.591938, -58.389732</t>
  </si>
  <si>
    <t>https://www.google.com/maps?q=-34.58756637573242,-58.38724136352539&amp;z=17&amp;hl=es</t>
  </si>
  <si>
    <t>-34.587566, -58.387241</t>
  </si>
  <si>
    <t>https://www.google.com/maps?q=-34.59189224243164,-58.38420104980469&amp;z=17&amp;hl=es</t>
  </si>
  <si>
    <t>-34.591892, -58.384201</t>
  </si>
  <si>
    <t>https://www.google.com/maps?q=-34.59242630004883,-58.384403228759766&amp;z=17&amp;hl=es</t>
  </si>
  <si>
    <t>-34.592426, -58.384403</t>
  </si>
  <si>
    <t>https://www.google.com/maps?q=-34.58757019042969,-58.38422775268555&amp;z=17&amp;hl=es</t>
  </si>
  <si>
    <t>-34.587570, -58.384228</t>
  </si>
  <si>
    <t>https://www.google.com/maps?q=-34.58774948120117,-58.38578796386719&amp;z=17&amp;hl=es</t>
  </si>
  <si>
    <t>-34.587750, -58.385788</t>
  </si>
  <si>
    <t>https://www.google.com/maps?q=-34.59028244018555,-58.388267517089844&amp;z=17&amp;hl=es</t>
  </si>
  <si>
    <t>-34.590282, -58.388268</t>
  </si>
  <si>
    <t>https://www.google.com/maps?q=-34.59125518798828,-58.3893928527832&amp;z=17&amp;hl=es</t>
  </si>
  <si>
    <t>-34.591255, -58.389393</t>
  </si>
  <si>
    <t>https://www.google.com/maps?q=-34.59230422973633,-58.392173767089844&amp;z=17&amp;hl=es</t>
  </si>
  <si>
    <t>-34.592304, -58.392174</t>
  </si>
  <si>
    <t>https://www.google.com/maps?q=-34.58652114868164,-58.38648223876953&amp;z=17&amp;hl=es</t>
  </si>
  <si>
    <t>-34.586521, -58.386482</t>
  </si>
  <si>
    <t>https://www.google.com/maps?q=-34.5859489440918,-58.38724136352539&amp;z=17&amp;hl=es</t>
  </si>
  <si>
    <t>-34.585949, -58.387241</t>
  </si>
  <si>
    <t>https://www.google.com/maps?q=-34.59074783325195,-58.3927001953125&amp;z=17&amp;hl=es</t>
  </si>
  <si>
    <t>https://www.google.com/maps/place/34%C2%B035'24.3%22S+58%C2%B023'45.2%22W/@-34.5900879,-58.3984718,17z/data=!3m1!4b1!4m4!3m3!8m2!3d-34.5900879!4d-58.3958969?hl=es&amp;entry=ttu&amp;g_ep=EgoyMDI2MDMwOS4wIKXMDSoASAFQAw%3D%3D</t>
  </si>
  <si>
    <t>-34.590088, -58.395897</t>
  </si>
  <si>
    <t>https://www.google.com/maps?q=-34.59027099609375,-58.39567565917969&amp;z=17&amp;hl=es</t>
  </si>
  <si>
    <t>-34.590271, -58.395676</t>
  </si>
  <si>
    <t>https://www.google.com/maps?q=-34.588661193847656,-58.3914909362793&amp;z=17&amp;hl=es</t>
  </si>
  <si>
    <t>-34.588661, -58.391491</t>
  </si>
  <si>
    <t>https://www.google.com/maps/place/34%C2%B035'29.3%22S+58%C2%B023'17.5%22W/@-34.5914726,-58.3907776,17z/data=!3m1!4b1!4m4!3m3!8m2!3d-34.5914726!4d-58.3882027?hl=es&amp;entry=ttu&amp;g_ep=EgoyMDI2MDMwOS4wIKXMDSoASAFQAw%3D%3D</t>
  </si>
  <si>
    <t>-34.591473, -58.388203</t>
  </si>
  <si>
    <t>https://www.google.com/maps?q=-34.59214401245117,-58.38740539550781&amp;z=17&amp;hl=es</t>
  </si>
  <si>
    <t>-34.592144, -58.387405</t>
  </si>
  <si>
    <t>https://www.google.com/maps?q=-34.59281921386719,-58.38582229614258&amp;z=17&amp;hl=es</t>
  </si>
  <si>
    <t>-34.592819, -58.385822</t>
  </si>
  <si>
    <t>https://www.google.com/maps?q=-34.58927536010742,-58.38338088989258&amp;z=17&amp;hl=es</t>
  </si>
  <si>
    <t>-34.589275, -58.383381</t>
  </si>
  <si>
    <t>https://www.google.com/maps?q=-34.58884811401367,-58.383033752441406&amp;z=17&amp;hl=es</t>
  </si>
  <si>
    <t>-34.588848, -58.383034</t>
  </si>
  <si>
    <t>POINT(-58.394527 -34.589733)</t>
  </si>
  <si>
    <t>POINT(-58.394119 -34.589943)</t>
  </si>
  <si>
    <t>POINT(-58.393669 -34.590313)</t>
  </si>
  <si>
    <t>POINT(-58.393101 -34.590752)</t>
  </si>
  <si>
    <t>POINT(-58.392571 -34.591213)</t>
  </si>
  <si>
    <t>POINT(-58.391777 -34.592102)</t>
  </si>
  <si>
    <t>POINT(-58.391026 -34.592506)</t>
  </si>
  <si>
    <t>POINT(-58.392952 -34.590828)</t>
  </si>
  <si>
    <t>POINT(-58.390587 -34.591076)</t>
  </si>
  <si>
    <t>POINT(-58.390484 -34.591259)</t>
  </si>
  <si>
    <t>POINT(-58.389732 -34.591938)</t>
  </si>
  <si>
    <t>POINT(-58.387241 -34.587566)</t>
  </si>
  <si>
    <t>POINT(-58.384201 -34.591892)</t>
  </si>
  <si>
    <t>POINT(-58.384403 -34.592426)</t>
  </si>
  <si>
    <t>POINT(-58.384228 -34.587570)</t>
  </si>
  <si>
    <t>POINT(-58.385788 -34.587750)</t>
  </si>
  <si>
    <t>POINT(-58.388268 -34.590282)</t>
  </si>
  <si>
    <t>POINT(-58.389393 -34.591255)</t>
  </si>
  <si>
    <t>POINT(-58.392174 -34.592304)</t>
  </si>
  <si>
    <t>POINT(-58.386482 -34.586521)</t>
  </si>
  <si>
    <t>POINT(-58.387241 -34.585949)</t>
  </si>
  <si>
    <t>POINT(-58.395897 -34.590088)</t>
  </si>
  <si>
    <t>POINT(-58.395676 -34.590271)</t>
  </si>
  <si>
    <t>POINT(-58.391491 -34.588661)</t>
  </si>
  <si>
    <t>POINT(-58.388203 -34.591473)</t>
  </si>
  <si>
    <t>POINT(-58.387405 -34.592144)</t>
  </si>
  <si>
    <t>POINT(-58.385822 -34.592819)</t>
  </si>
  <si>
    <t>POINT(-58.383381 -34.589275)</t>
  </si>
  <si>
    <t>POINT(-58.383034 -34.588848)</t>
  </si>
  <si>
    <t>csp_0076</t>
  </si>
  <si>
    <t>csp_0077</t>
  </si>
  <si>
    <t>csp_0078</t>
  </si>
  <si>
    <t>csp_0079</t>
  </si>
  <si>
    <t>csp_0080</t>
  </si>
  <si>
    <t>csp_0081</t>
  </si>
  <si>
    <t>csp_0082</t>
  </si>
  <si>
    <t>csp_0083</t>
  </si>
  <si>
    <t>csp_0084</t>
  </si>
  <si>
    <t>csp_0085</t>
  </si>
  <si>
    <t>csp_0086</t>
  </si>
  <si>
    <t>csp_0087</t>
  </si>
  <si>
    <t>csp_0088</t>
  </si>
  <si>
    <t>csp_0089</t>
  </si>
  <si>
    <t>csp_0090</t>
  </si>
  <si>
    <t>csp_0091</t>
  </si>
  <si>
    <t>csp_0092</t>
  </si>
  <si>
    <t>csp_0093</t>
  </si>
  <si>
    <t>csp_0094</t>
  </si>
  <si>
    <t>csp_0095</t>
  </si>
  <si>
    <t>csp_0096</t>
  </si>
  <si>
    <t>csp_0097</t>
  </si>
  <si>
    <t>csp_0098</t>
  </si>
  <si>
    <t>csp_0099</t>
  </si>
  <si>
    <t>csp_0100</t>
  </si>
  <si>
    <t>csp_0101</t>
  </si>
  <si>
    <t>csp_0102</t>
  </si>
  <si>
    <t>csp_0103</t>
  </si>
  <si>
    <t>csp_0104</t>
  </si>
  <si>
    <t>csp_0105</t>
  </si>
  <si>
    <t>csp_0106</t>
  </si>
  <si>
    <t>ELIMINAR 1005 Y 1006</t>
  </si>
  <si>
    <t>MEDIANA 12/06/25 A 11/12/25</t>
  </si>
  <si>
    <t>https://www.google.com/maps/place/Marcelo+Torcuato+de+Alvear+1243,+C1058AAS+Cdad.+Aut%C3%B3noma+de+Buenos+Aires/@-34.5968983,-58.3850364,21z/data=!4m12!1m5!3m4!2zMzTCsDM1JzQ4LjQiUyA1OMKwMjMnMDUuNyJX!8m2!3d-34.5967751!4d-58.3849182!3m5!1s0x95bccab843ffe669:0xae79508bd3a18136!8m2!3d-34.5968551!4d-58.3848858!16s%2Fg%2F11c87kq9r3?hl=es&amp;entry=ttu&amp;g_ep=EgoyMDI2MDMxMS4wIKXMDSoASAFQAw%3D%3D</t>
  </si>
  <si>
    <t>POINT(-58.384884525667495 -34.59684306658751)</t>
  </si>
  <si>
    <t>POINT(-58.3858986436714 -34.59276756045055)</t>
  </si>
  <si>
    <t>https://www.google.com/maps/@-34.5927433,-58.3859499,21z?hl=es&amp;entry=ttu&amp;g_ep=EgoyMDI2MDMxMS4wIKXMDSoASAFQAw%3D%3D</t>
  </si>
  <si>
    <t>https://www.google.com/maps/@-34.5928081,-58.383655,21z?hl=es&amp;entry=ttu&amp;g_ep=EgoyMDI2MDMxMS4wIKXMDSoASAFQAw%3D%3D</t>
  </si>
  <si>
    <t>POINT(-58.383572137063965 -34.59277833763642)</t>
  </si>
  <si>
    <t>POINT(-58.39314941110279 -34.59060088690933)</t>
  </si>
  <si>
    <t>https://www.google.com/maps/@-34.5905887,-58.3932738,21z?hl=es&amp;entry=ttu&amp;g_ep=EgoyMDI2MDMxMS4wIKXMDSoASAFQAw%3D%3D</t>
  </si>
  <si>
    <t>POINT(-58.39462362708994 -34.589355170420546)</t>
  </si>
  <si>
    <t>https://www.google.com/maps/place/Carnicer%C3%ADa+Rub%C3%A9n/@-34.5895037,-58.394738,21z/data=!4m6!3m5!1s0x95bcca987766253f:0x9a08e33acc0fc017!8m2!3d-34.589303!4d-58.394544!16s%2Fg%2F11b6v4jlsn?hl=es&amp;entry=ttu&amp;g_ep=EgoyMDI2MDMxMS4wIKXMDSoASAFQAw%3D%3D</t>
  </si>
  <si>
    <t>POINT( -58.39491161951106 -34.593480469021166)</t>
  </si>
  <si>
    <t>https://www.google.com/maps/@-34.5934683,-58.3950078,21z?hl=es&amp;entry=ttu&amp;g_ep=EgoyMDI2MDMxMS4wIKXMDSoASAFQAw%3D%3D</t>
  </si>
  <si>
    <t>POINT(-58.39206286569123 -34.59404104867657)</t>
  </si>
  <si>
    <t>https://www.google.com/maps/@-34.5940444,-58.3920163,21z?hl=es&amp;entry=ttu&amp;g_ep=EgoyMDI2MDMxMS4wIKXMDSoASAFQAw%3D%3D</t>
  </si>
  <si>
    <t>POINT(-58.37937322983343 -34.5941396898721)</t>
  </si>
  <si>
    <t>https://www.google.com/maps/@-34.5940337,-58.3793313,21z?hl=es&amp;entry=ttu&amp;g_ep=EgoyMDI2MDMxMS4wIKXMDSoASAFQAw%3D%3D</t>
  </si>
  <si>
    <t>https://www.google.com/maps/@-34.5917245,-58.3792782,21z?hl=es&amp;entry=ttu&amp;g_ep=EgoyMDI2MDMxMS4wIKXMDSoASAFQAw%3D%3D</t>
  </si>
  <si>
    <t>POINT(-58.37935967209949 -34.59165991469645)</t>
  </si>
  <si>
    <t>POINT(-58.37905910670746 -34.5927824431818)</t>
  </si>
  <si>
    <t>https://www.google.com/maps/place/Juncal+833,+C1062ABE+Cdad.+Aut%C3%B3noma+de+Buenos+Aires/@-34.5928161,-58.3791828,21z/data=!4m6!3m5!1s0x95bccab6c10e43a7:0x9da6744281d0fbdb!8m2!3d-34.5927941!4d-58.3790592!16s%2Fg%2F11dfh48dx7?hl=es&amp;entry=ttu&amp;g_ep=EgoyMDI2MDMxMS4wIKXMDSoASAFQAw%3D%3D</t>
  </si>
  <si>
    <t>POINT(-58.376197216356985 -34.5928172847864)</t>
  </si>
  <si>
    <t>https://www.google.com/maps/@-34.5928267,-58.3763974,21z?hl=es&amp;entry=ttu&amp;g_ep=EgoyMDI2MDMxMS4wIKXMDSoASAFQAw%3D%3D</t>
  </si>
  <si>
    <t>POINT(-58.37869881477214 -34.5976081096709)</t>
  </si>
  <si>
    <t>https://www.google.com/maps/place/34%C2%B035'50.5%22S+58%C2%B022'44.1%22W/@-34.5975982,-58.3788232,21z/data=!4m4!3m3!8m2!3d-34.5973587!4d-58.3789177?hl=es&amp;entry=ttu&amp;g_ep=EgoyMDI2MDMxMS4wIKXMDSoASAFQAw%3D%3D</t>
  </si>
  <si>
    <t>POINT(-58.387743562713915 -34.596961193944196)</t>
  </si>
  <si>
    <t>https://www.google.com/maps/place/34%C2%B035'34.7%22S+58%C2%B022'45.5%22W/@-34.5929794,-58.3818817,17z/data=!3m1!4b1!4m4!3m3!8m2!3d-34.5929794!4d-58.3793068?hl=es&amp;entry=ttu&amp;g_ep=EgoyMDI2MDMxNS4wIKXMDSoASAFQAw%3D%3D</t>
  </si>
  <si>
    <t>csp_0107</t>
  </si>
  <si>
    <t>https://www.google.com/maps/place/34%C2%B035'34.6%22S+58%C2%B022'45.8%22W/@-34.5929565,-58.3819542,17z/data=!3m1!4b1!4m4!3m3!8m2!3d-34.5929565!4d-58.3793793?hl=es&amp;entry=ttu&amp;g_ep=EgoyMDI2MDMxNS4wIKXMDSoASAFQAw%3D%3D</t>
  </si>
  <si>
    <t>https://www.google.com/maps?q=-34.59281921386719,-58.38037109375&amp;z=17&amp;hl=es</t>
  </si>
  <si>
    <t>https://www.google.com/maps/place/34%C2%B035'34.2%22S+58%C2%B022'50.8%22W/@-34.5928421,-58.3833542,17z/data=!3m1!4b1!4m4!3m3!8m2!3d-34.5928421!4d-58.3807793?hl=es&amp;entry=ttu&amp;g_ep=EgoyMDI2MDMxNS4wIKXMDSoASAFQAw%3D%3D</t>
  </si>
  <si>
    <t>https://www.google.com/maps?q=-34.59285354614258,-58.38368225097656&amp;z=17&amp;hl=es</t>
  </si>
  <si>
    <t>https://www.google.com/maps?q=-34.59299087524414,-58.38447189331055&amp;z=17&amp;hl=es</t>
  </si>
  <si>
    <t>google.com/maps?q=-34.59281921386719,-58.38594055175781&amp;z=17&amp;hl=es</t>
  </si>
  <si>
    <t>https://www.google.com/maps?q=-34.59246826171875,-58.39091491699219&amp;z=17&amp;hl=es</t>
  </si>
  <si>
    <t>https://www.google.com/maps?q=-34.592227935791016,-58.39232635498047&amp;z=17&amp;hl=es</t>
  </si>
  <si>
    <t>https://www.google.com/maps?q=-34.59272766113281,-58.392913818359375&amp;z=17&amp;hl=es</t>
  </si>
  <si>
    <t>https://www.google.com/maps?q=-34.59337615966797,-58.39302062988281&amp;z=17&amp;hl=es</t>
  </si>
  <si>
    <t>https://www.google.com/maps?q=-34.59449768066406,-58.39332580566406&amp;z=17&amp;hl=es</t>
  </si>
  <si>
    <t>https://www.google.com/maps/place/34%C2%B035'40.8%22S+58%C2%B023'35.9%22W/@-34.5946541,-58.3958854,17z/data=!3m1!4b1!4m4!3m3!8m2!3d-34.5946541!4d-58.3933105?hl=es&amp;entry=ttu&amp;g_ep=EgoyMDI2MDMxNS4wIKXMDSoASAFQAw%3D%3D</t>
  </si>
  <si>
    <t>https://www.google.com/maps?q=-34.59524154663086,-58.39213943481445&amp;z=17&amp;hl=es</t>
  </si>
  <si>
    <t>https://www.google.com/maps?q=-34.594940185546875,-58.39402389526367&amp;z=17&amp;hl=es</t>
  </si>
  <si>
    <t>https://www.google.com/maps?q=-34.59383773803711,-58.395816802978516&amp;z=17&amp;hl=es</t>
  </si>
  <si>
    <t>https://www.google.com/maps?q=-34.59271240234375,-58.395015716552734&amp;z=17&amp;hl=es</t>
  </si>
  <si>
    <t>https://www.google.com/maps?q=-34.59274673461914,-58.394981384277344&amp;z=17&amp;hl=es</t>
  </si>
  <si>
    <t>https://www.google.com/maps?q=-34.59515380859375,-58.390403747558594&amp;z=17&amp;hl=es</t>
  </si>
  <si>
    <t>https://www.google.com/maps?q=-34.59419631958008,-58.381248474121094&amp;z=17&amp;hl=es</t>
  </si>
  <si>
    <t>https://www.google.com/maps?q=-34.594032287597656,-58.379764556884766&amp;z=17&amp;hl=es</t>
  </si>
  <si>
    <t>https://www.google.com/maps?q=-34.59407043457031,-58.379425048828125&amp;z=17&amp;hl=es</t>
  </si>
  <si>
    <t>google.com/maps?q=-34.59178924560547,-58.3784065246582&amp;z=17&amp;hl=es</t>
  </si>
  <si>
    <t>https://www.google.com/maps?q=-34.59444046020508,-58.38235092163086&amp;z=17&amp;hl=es</t>
  </si>
  <si>
    <t>https://www.google.com/maps?q=-34.59033966064453,-58.38410186767578&amp;z=17&amp;hl=es</t>
  </si>
  <si>
    <t>https://www.google.com/maps?q=-34.595619201660156,-58.387168884277344&amp;z=17&amp;hl=es</t>
  </si>
  <si>
    <t>https://www.google.com/maps?q=-34.59764099121094,-58.38974380493164&amp;z=17&amp;hl=es</t>
  </si>
  <si>
    <t>https://www.google.com/maps?q=-34.59832763671875,-58.38825607299805&amp;z=17&amp;hl=es</t>
  </si>
  <si>
    <t>https://www.google.com/maps?q=-34.59763717651367,-58.38011169433594&amp;z=17&amp;hl=es</t>
  </si>
  <si>
    <t>https://www.google.com/maps?q=-34.597625732421875,-58.37929916381836&amp;z=17&amp;hl=es</t>
  </si>
  <si>
    <t>https://www.google.com/maps?q=-34.5976676940918,-58.37921905517578&amp;z=17&amp;hl=es</t>
  </si>
  <si>
    <t>https://www.google.com/maps?q=-34.59758758544922,-58.37821960449219&amp;z=17&amp;hl=es</t>
  </si>
  <si>
    <t>csp_0108</t>
  </si>
  <si>
    <t>csp_0109</t>
  </si>
  <si>
    <t>csp_0110</t>
  </si>
  <si>
    <t>csp_0111</t>
  </si>
  <si>
    <t>csp_0112</t>
  </si>
  <si>
    <t>csp_0113</t>
  </si>
  <si>
    <t>csp_0114</t>
  </si>
  <si>
    <t>csp_0115</t>
  </si>
  <si>
    <t>csp_0116</t>
  </si>
  <si>
    <t>csp_0117</t>
  </si>
  <si>
    <t>csp_0118</t>
  </si>
  <si>
    <t>csp_0119</t>
  </si>
  <si>
    <t>csp_0120</t>
  </si>
  <si>
    <t>csp_0121</t>
  </si>
  <si>
    <t>csp_0122</t>
  </si>
  <si>
    <t>csp_0123</t>
  </si>
  <si>
    <t>csp_0124</t>
  </si>
  <si>
    <t>csp_0125</t>
  </si>
  <si>
    <t>csp_0126</t>
  </si>
  <si>
    <t>csp_0127</t>
  </si>
  <si>
    <t>csp_0128</t>
  </si>
  <si>
    <t>csp_0129</t>
  </si>
  <si>
    <t>csp_0130</t>
  </si>
  <si>
    <t>csp_0131</t>
  </si>
  <si>
    <t>csp_0132</t>
  </si>
  <si>
    <t>csp_0133</t>
  </si>
  <si>
    <t>csp_0134</t>
  </si>
  <si>
    <t>csp_0135</t>
  </si>
  <si>
    <t>csp_0136</t>
  </si>
  <si>
    <t>csp_0137</t>
  </si>
  <si>
    <t>csp_0138</t>
  </si>
  <si>
    <t>-34.592751398651934, -58.379353879762654</t>
  </si>
  <si>
    <t>-34.59275009477967, -58.379362077909626</t>
  </si>
  <si>
    <t>-34.5926072032849, -58.380312094986074</t>
  </si>
  <si>
    <t>-34.592594834120035, -58.380793893254214</t>
  </si>
  <si>
    <t>-34.592641503372406, -58.38370912567533</t>
  </si>
  <si>
    <t>-34.59277007165979, -58.38444508149447</t>
  </si>
  <si>
    <t>-34.59267785990272, -58.38596742567537</t>
  </si>
  <si>
    <t>-34.59219447753868, -58.3909524545115</t>
  </si>
  <si>
    <t>-34.59206889462266, -58.39231031033092</t>
  </si>
  <si>
    <t>-34.59257752766326, -58.392908439166945</t>
  </si>
  <si>
    <t>-34.593234860849975, -58.39304742567526</t>
  </si>
  <si>
    <t>-34.594321035169656, -58.39334189683926</t>
  </si>
  <si>
    <t>-34.594490062571474, -58.39334315092651</t>
  </si>
  <si>
    <t>-34.595064836750986, -58.39213403916676</t>
  </si>
  <si>
    <t>-34.59479003166138, -58.39407218334746</t>
  </si>
  <si>
    <t>-34.59366103376648, -58.39583289683914</t>
  </si>
  <si>
    <t>-34.59257105972096, -58.39503179683923</t>
  </si>
  <si>
    <t>-34.59257003144718, -58.39499749683903</t>
  </si>
  <si>
    <t>-34.59495064107324, -58.39043052567507</t>
  </si>
  <si>
    <t>-34.594037298388706, -58.38120022382222</t>
  </si>
  <si>
    <t>-34.59392628973621, -58.37970559498623</t>
  </si>
  <si>
    <t>-34.593884902316674, -58.379419639166684</t>
  </si>
  <si>
    <t>-34.59163019378331, -58.3784440545115</t>
  </si>
  <si>
    <t>-34.59429033075849, -58.38239918334751</t>
  </si>
  <si>
    <t>-34.590163026330394, -58.38410726800311</t>
  </si>
  <si>
    <t>-34.59543370577387, -58.38706697964162</t>
  </si>
  <si>
    <t>-34.59743784715442, -58.38973843916656</t>
  </si>
  <si>
    <t>-34.59816860629356, -58.38824001033042</t>
  </si>
  <si>
    <t>-34.59753119433429, -58.38010633916672</t>
  </si>
  <si>
    <t>-34.59740488397706, -58.37928311033056</t>
  </si>
  <si>
    <t>-34.59749987347052, -58.37923519683892</t>
  </si>
  <si>
    <t>-34.59745509957847, -58.37819278149436</t>
  </si>
  <si>
    <t>street view</t>
  </si>
  <si>
    <t>https://www.google.com/maps/place/Carrefour+Express/@-34.5942844,-58.3742182,20z/data=!4m6!3m5!1s0x95bccbbb6c95cfc9:0xf9c120a50efafb37!8m2!3d-34.5942829!4d-58.3741787!16s%2Fg%2F11tfw1ltfp?authuser=0&amp;entry=ttu&amp;g_ep=EgoyMDI2MDMxNS4wIKXMDSoASAFQAw%3D%3D</t>
  </si>
  <si>
    <t>https://www.google.com/maps/place/Marcelo+Torcuato+de+Alvear+508,+C1058AAF+Cdad.+Aut%C3%B3noma+de+Buenos+Aires/@-34.5963142,-58.3745629,21z/data=!4m6!3m5!1s0x95bccaca89f10f37:0x3ae2ba521a9fbaf1!8m2!3d-34.5963267!4d-58.3744941!16s%2Fg%2F11nnkmrt81?authuser=0&amp;entry=ttu&amp;g_ep=EgoyMDI2MDMxNS4wIKXMDSoASAFQAw%3D%3D</t>
  </si>
  <si>
    <t>-34.59631975320537, -58.374490194743295</t>
  </si>
  <si>
    <t>-34.59426121625223, -58.37417729631218</t>
  </si>
  <si>
    <t>-34.596310039120894, -58.37404856809685</t>
  </si>
  <si>
    <t>https://www.google.com/maps/place/Blami+SRL/@-34.5969812,-58.3742846,15z/data=!4m6!3m5!1s0x95bccacaf6bee137:0xd06f1b1354865eea!8m2!3d-34.5970176!4d-58.3742101!16s%2Fg%2F1tffkzpv?authuser=0&amp;entry=ttu&amp;g_ep=EgoyMDI2MDMxNS4wIKXMDSoASAFQAw%3D%3D</t>
  </si>
  <si>
    <t>-34.59997516974474, -58.37417102171048</t>
  </si>
  <si>
    <t>https://www.google.com/maps/@-34.6000277,-58.3773033,16.75z?authuser=0&amp;entry=ttu&amp;g_ep=EgoyMDI2MDMxNS4wIKXMDSoASAFQAw%3D%3D</t>
  </si>
  <si>
    <t>https://www.google.com/maps/place/Carrefour+Express/@-34.6012939,-58.3748665,15.75z/data=!4m6!3m5!1s0x95bccacc85c70317:0x51841bade70c2cb6!8m2!3d-34.60065!4d-58.3742308!16s%2Fg%2F11b6x721sq?authuser=0&amp;entry=ttu&amp;g_ep=EgoyMDI2MDMxNS4wIKXMDSoASAFQAw%3D%3D</t>
  </si>
  <si>
    <t>-34.60011764712355, -58.37413921731743</t>
  </si>
  <si>
    <t>-34.60077751139046, -58.37393568321084</t>
  </si>
  <si>
    <t>https://www.google.com/maps/@-34.6010007,-58.3749867,18.75z?authuser=0&amp;entry=ttu&amp;g_ep=EgoyMDI2MDMxNS4wIKXMDSoASAFQAw%3D%3D</t>
  </si>
  <si>
    <t>https://www.google.com/maps/place/Diarco+Barrio/@-34.6016718,-58.3740118,20.25z/data=!4m6!3m5!1s0x95bcc95939773001:0x1d480e653f4b414f!8m2!3d-34.6016265!4d-58.3741032!16s%2Fg%2F11kbwkpcrm?authuser=0&amp;entry=ttu&amp;g_ep=EgoyMDI2MDMxNS4wIKXMDSoASAFQAw%3D%3D</t>
  </si>
  <si>
    <t>Supermercado Diarco</t>
  </si>
  <si>
    <t>https://www.google.com/maps/place/Supermercado+Asia/@-34.6026755,-58.3766882,15z/data=!4m6!3m5!1s0x95bccacc24bb8ac9:0x6399a9ce206a12e7!8m2!3d-34.6026594!4d-58.3767421!16s%2Fg%2F11g9qlwdlz?authuser=0&amp;entry=ttu&amp;g_ep=EgoyMDI2MDMxNS4wIKXMDSoASAFQAw%3D%3D</t>
  </si>
  <si>
    <t>-34.60175706983124, -58.37683840370606</t>
  </si>
  <si>
    <t>-34.60160556659449, -58.374105006764026</t>
  </si>
  <si>
    <t>https://www.google.com/maps/place/SUPERMERCADO+SONRISA/@-34.6017295,-58.3781294,15z/data=!4m6!3m5!1s0x95bccac94d3ece99:0x6f95fe5061b4ca6!8m2!3d-34.6017187!4d-58.3782225!16s%2Fg%2F11b700k6g0?authuser=0&amp;entry=ttu&amp;g_ep=EgoyMDI2MDMxNS4wIKXMDSoASAFQAw%3D%3D</t>
  </si>
  <si>
    <t>-34.60084633613232, -58.3779792251339</t>
  </si>
  <si>
    <t>https://www.google.com/maps/@-34.6021527,-58.3790165,17.54z?authuser=0&amp;entry=ttu&amp;g_ep=EgoyMDI2MDMxNS4wIKXMDSoASAFQAw%3D%3D</t>
  </si>
  <si>
    <t>-34.60252272052468, -58.38062693141472</t>
  </si>
  <si>
    <t>https://www.google.com/maps/place/Carrefour+Express/@-34.6024179,-58.3725786,15.75z/data=!4m6!3m5!1s0x95bccaccd44999e9:0x12e3b6ab560cf01f!8m2!3d-34.6021473!4d-58.3719451!16s%2Fg%2F11c56rcprp?authuser=0&amp;entry=ttu&amp;g_ep=EgoyMDI2MDMxNS4wIKXMDSoASAFQAw%3D%3D</t>
  </si>
  <si>
    <t>-34.601661770277914, -58.37185137991847</t>
  </si>
  <si>
    <t>https://www.google.com/maps/place/Supermercado+Pekin/@-34.601401,-58.3725528,15z/data=!4m6!3m5!1s0x95bccaccc5ba6e6b:0xbead12d4410ed9d5!8m2!3d-34.6015058!4d-58.3722918!16s%2Fg%2F1tfjm9qr?authuser=0&amp;entry=ttu&amp;g_ep=EgoyMDI2MDMxNS4wIKXMDSoASAFQAw%3D%3D</t>
  </si>
  <si>
    <t>-34.60094177487859, -58.372531365966914</t>
  </si>
  <si>
    <t>https://www.google.com/maps/place/Carrefour+EXPRESS/@-34.5995676,-58.3700041,21z/data=!4m6!3m5!1s0x95a335005501538b:0x9e0a422b6b79b66e!8m2!3d-34.5995804!4d-58.3698629!16s%2Fg%2F11wbys7179?authuser=0&amp;entry=ttu&amp;g_ep=EgoyMDI2MDMxNS4wIKXMDSoASAFQAw%3D%3D</t>
  </si>
  <si>
    <t>-34.59948039711649, -58.3698723348171</t>
  </si>
  <si>
    <t>https://www.google.com/maps/place/Carrefour+Express/@-34.59961,-58.372113,15z/data=!4m6!3m5!1s0x95bccacb560a4ee5:0xa4818df86f0be2b5!8m2!3d-34.5998336!4d-58.3720506!16s%2Fg%2F11_tw94kt?authuser=0&amp;entry=ttu&amp;g_ep=EgoyMDI2MDMxNS4wIKXMDSoASAFQAw%3D%3D</t>
  </si>
  <si>
    <t>-34.59897410526749, -58.372177357763256</t>
  </si>
  <si>
    <t>https://www.google.com/maps/place/BA+MARKET/@-34.5999151,-58.3765336,15z/data=!4m6!3m5!1s0x95bccbdeac55a001:0x52f3431c0e94dcc6!8m2!3d-34.599806!4d-58.3765839!16s%2Fg%2F11thc23dkv?authuser=0&amp;entry=ttu&amp;g_ep=EgoyMDI2MDMxNS4wIKXMDSoASAFQAw%3D%3D</t>
  </si>
  <si>
    <t>-34.59892601749478, -58.37642635938354</t>
  </si>
  <si>
    <t>https://www.google.com/maps/@-34.600212,-58.3769937,19.58z?authuser=0&amp;entry=ttu&amp;g_ep=EgoyMDI2MDMxNS4wIKXMDSoASAFQAw%3D%3D</t>
  </si>
  <si>
    <t>-34.59998503450598, -58.37689074687033</t>
  </si>
  <si>
    <t>https://www.google.com/maps/place/RES/@-34.5999064,-58.3768554,20.13z/data=!4m6!3m5!1s0x95bccbe9992fc769:0xf7e9d1ddbde139ed!8m2!3d-34.5998297!4d-58.3769146!16s%2Fg%2F11tg4ns3bq?authuser=0&amp;entry=ttu&amp;g_ep=EgoyMDI2MDMxNS4wIKXMDSoASAFQAw%3D%3D</t>
  </si>
  <si>
    <t>-34.59980923467945, -58.37689410732305</t>
  </si>
  <si>
    <t>https://www.google.com/maps/place/Loteria+De+La+Ciudad/@-34.6001281,-58.3798024,15z/data=!4m6!3m5!1s0x95bccac91b504fc7:0x18a7285a5d4eb2bd!8m2!3d-34.6000555!4d-58.3798464!16s%2Fg%2F11hczl8m6d?authuser=0&amp;entry=ttu&amp;g_ep=EgoyMDI2MDMxNS4wIKXMDSoASAFQAw%3D%3D</t>
  </si>
  <si>
    <t>-34.599245011580145, -58.37982390410851</t>
  </si>
  <si>
    <t>https://www.google.com/maps/place/Maxikiosko+Ebu/@-34.6001468,-58.3802384,15z/data=!4m6!3m5!1s0x95bccac91a4818f3:0x3e14cea62981c820!8m2!3d-34.6002154!4d-58.3802842!16s%2Fg%2F11bbrr2tzd?authuser=0&amp;entry=ttu&amp;g_ep=EgoyMDI2MDMxNS4wIKXMDSoASAFQAw%3D%3D</t>
  </si>
  <si>
    <t>-34.5994756010369, -58.38013110947526</t>
  </si>
  <si>
    <t>https://www.google.com/maps/place/Carrefour+EXPRESS/@-34.5995594,-58.3702766,21z/data=!4m6!3m5!1s0x95a335005501538b:0x9e0a422b6b79b66e!8m2!3d-34.5995804!4d-58.3698629!16s%2Fg%2F11wbys7179?authuser=0&amp;entry=ttu&amp;g_ep=EgoyMDI2MDMxNS4wIKXMDSoASAFQAw%3D%3D</t>
  </si>
  <si>
    <t>-34.599474433549744, -58.36988397748167</t>
  </si>
  <si>
    <t>https://www.google.com/maps/place/Carrefour+Express/@-34.599599,-58.3720077,15z/data=!4m6!3m5!1s0x95bccacb560a4ee5:0xa4818df86f0be2b5!8m2!3d-34.5998336!4d-58.3720506!16s%2Fg%2F11_tw94kt?authuser=0&amp;entry=ttu&amp;g_ep=EgoyMDI2MDMxNS4wIKXMDSoASAFQAw%3D%3D</t>
  </si>
  <si>
    <t>-34.599104423716845, -58.37194337445588</t>
  </si>
  <si>
    <t>https://www.google.com/maps/place/Carrefour+Express/@-34.6000514,-58.3768595,19.75z/data=!4m6!3m5!1s0x95bccacbe76c90af:0x805fe5afefe25879!8m2!3d-34.6000331!4d-58.3768718!16s%2Fg%2F11c52s_xct?authuser=0&amp;entry=ttu&amp;g_ep=EgoyMDI2MDMxNS4wIKXMDSoASAFQAw%3D%3D</t>
  </si>
  <si>
    <t>-34.600004188625675, -58.37686990171341</t>
  </si>
  <si>
    <t>https://www.google.com/maps/place/RES/@-34.6000514,-58.3768595,19.75z/data=!4m6!3m5!1s0x95bccbe9992fc769:0xf7e9d1ddbde139ed!8m2!3d-34.5998297!4d-58.3769146!16s%2Fg%2F11tg4ns3bq?authuser=0&amp;entry=ttu&amp;g_ep=EgoyMDI2MDMxNS4wIKXMDSoASAFQAw%3D%3D</t>
  </si>
  <si>
    <t>-34.59979020524474, -58.37690179873412</t>
  </si>
  <si>
    <t>https://www.google.com/maps/place/Supermercados+DIA/@-34.6008942,-58.3731567,15z/data=!4m6!3m5!1s0x95bccacc96145a71:0xf6f6983f5fe15ddf!8m2!3d-34.6008419!4d-58.3731464!16s%2Fg%2F11c57dl4m3?authuser=0&amp;entry=ttu&amp;g_ep=EgoyMDI2MDMxNS4wIKXMDSoASAFQAw%3D%3D</t>
  </si>
  <si>
    <t>-34.59994046893809, -58.37313520060733</t>
  </si>
  <si>
    <t>https://www.google.com/maps/place/Frutas+y+verduras+%22La+Central%22/@-34.6009311,-58.3735841,15z/data=!4m6!3m5!1s0x95bccb977541bc41:0x5cf19ae100f57c3f!8m2!3d-34.6007427!4d-58.3739343!16s%2Fg%2F11rsqxs0yc?authuser=0&amp;entry=ttu&amp;g_ep=EgoyMDI2MDMxNS4wIKXMDSoASAFQAw%3D%3D</t>
  </si>
  <si>
    <t>-34.600259911686514, -58.37420641317498</t>
  </si>
  <si>
    <t>https://www.google.com/maps/place/Singapur/@-34.6010849,-58.3760001,15z/data=!4m6!3m5!1s0x95bccacc0b68aac1:0xbc98ffbeab0462c9!8m2!3d-34.6011394!4d-58.3760867!16s%2Fg%2F1hc1_28tr?authuser=0&amp;entry=ttu&amp;g_ep=EgoyMDI2MDMxNS4wIKXMDSoASAFQAw%3D%3D</t>
  </si>
  <si>
    <t>-34.600449051557014, -58.37623616421739</t>
  </si>
  <si>
    <t>https://www.google.com/maps/@-34.6012192,-58.3785395,18.25z?authuser=0&amp;entry=ttu&amp;g_ep=EgoyMDI2MDMxNS4wIKXMDSoASAFQAw%3D%3D</t>
  </si>
  <si>
    <t>-34.60114125728994, -58.378474090267524</t>
  </si>
  <si>
    <t>https://www.google.com/maps/place/Autoservicio+Baco/@-34.6012161,-58.3769775,16.25z/data=!4m6!3m5!1s0x95bccac94bd71693:0x86f4c6fd2f9375cb!8m2!3d-34.601362!4d-58.3784998!16s%2Fg%2F11f043d8yb?authuser=0&amp;entry=ttu&amp;g_ep=EgoyMDI2MDMxNS4wIKXMDSoASAFQAw%3D%3D</t>
  </si>
  <si>
    <t>-34.601022991544774, -58.378357857679845</t>
  </si>
  <si>
    <t>https://www.google.com/maps/place/Carrefour+Express/@-34.6012192,-58.3785395,18.25z/data=!4m6!3m5!1s0x95bccac94970f87f:0x3a164940cf9196e0!8m2!3d-34.6010738!4d-58.3787588!16s%2Fg%2F11_thvyth?authuser=0&amp;entry=ttu&amp;g_ep=EgoyMDI2MDMxNS4wIKXMDSoASAFQAw%3D%3D</t>
  </si>
  <si>
    <t>-34.60098530899635, -58.37876730006283</t>
  </si>
  <si>
    <t>https://www.google.com/maps/place/Barber%C3%ADa+Alvarez/@-34.6015277,-58.3791645,16.25z/data=!4m6!3m5!1s0x95bccb7c80387ce1:0xae37ff2cb65c5403!8m2!3d-34.6013433!4d-58.3791599!16s%2Fg%2F11sqdh7mv6?authuser=0&amp;entry=ttu&amp;g_ep=EgoyMDI2MDMxNS4wIKXMDSoASAFQAw%3D%3D</t>
  </si>
  <si>
    <t>-34.60099303788245, -58.379209586630644</t>
  </si>
  <si>
    <t>https://www.google.com/maps/@-34.5963355,-58.3738085,21z?authuser=0&amp;entry=ttu&amp;g_ep=EgoyMDI2MDMxNS4wIKXMDSoASAFQAw%3D%3D</t>
  </si>
  <si>
    <t>-34.59626704689463, -58.3739972779002</t>
  </si>
  <si>
    <t>https://www.google.com/maps/place/Carrefour+Express/@-34.5974243,-58.3746977,21z/data=!3m1!5s0x95bccaca581bdc1d:0x2471baf91d721488!4m15!1m8!3m7!1s0x95bccb7c80387ce1:0xae37ff2cb65c5403!2sBarber%C3%ADa+Alvarez!8m2!3d-34.6013433!4d-58.3791599!10e5!16s%2Fg%2F11sqdh7mv6!3m5!1s0x95bccacaf87cb893:0xe4435d9ff16437c1!8m2!3d-34.5973488!4d-58.3745952!16s%2Fg%2F11_tzhd2m?authuser=0&amp;entry=ttu&amp;g_ep=EgoyMDI2MDMxNS4wIKXMDSoASAFQAw%3D%3D</t>
  </si>
  <si>
    <t>-34.597339270757516, -58.374595405833276</t>
  </si>
  <si>
    <t>https://www.google.com/maps/place/Almac%C3%A9n+1249+(Mucho+Gusto)/@-34.5934466,-58.378565,15z/data=!4m15!1m8!3m7!1s0x95bccb7c80387ce1:0xae37ff2cb65c5403!2sBarber%C3%ADa+Alvarez!8m2!3d-34.6013433!4d-58.3791599!10e5!16s%2Fg%2F11sqdh7mv6!3m5!1s0x95bccab68d93f19d:0x6ed9c7c086223b63!8m2!3d-34.5935487!4d-58.3784882!16s%2Fg%2F11bwhbdx21?authuser=0&amp;entry=ttu&amp;g_ep=EgoyMDI2MDMxNS4wIKXMDSoASAFQAw%3D%3D</t>
  </si>
  <si>
    <t>-34.5926340366333, -58.37871522932065</t>
  </si>
  <si>
    <t>https://www.google.com/maps/place/Supermercados+DIA/@-34.5952272,-58.3804243,15z/data=!4m6!3m5!1s0x95bccab7adca3525:0xe1440a57c0298a4e!8m2!3d-34.5951283!4d-58.3804184!16s%2Fg%2F11c52qjkxc?authuser=0&amp;entry=ttu&amp;g_ep=EgoyMDI2MDMxNS4wIKXMDSoASAFQAw%3D%3D</t>
  </si>
  <si>
    <t>-34.59413206311817, -58.38023122022828</t>
  </si>
  <si>
    <t>https://www.google.com/maps/place/Acasiem+Market/@-34.5970997,-58.3798688,15z/data=!4m6!3m5!1s0x95bccac9d6a2d49b:0x1c540011087734ad!8m2!3d-34.5972187!4d-58.3798014!16s%2Fg%2F11g8nwlp95?authuser=0&amp;entry=ttu&amp;g_ep=EgoyMDI2MDMxNS4wIKXMDSoASAFQAw%3D%3D</t>
  </si>
  <si>
    <t>-34.59625186163353, -58.379632744793824</t>
  </si>
  <si>
    <t>https://www.google.com/maps/place/Valentina/@-34.5908813,-58.3867294,21z/data=!4m6!3m5!1s0x95bccabb0576cf3d:0x4b9c6df2a17893d9!8m2!3d-34.5909054!4d-58.3866078!16s%2Fg%2F11bws97qhl?authuser=0&amp;entry=ttu&amp;g_ep=EgoyMDI2MDMxNS4wIKXMDSoASAFQAw%3D%3D</t>
  </si>
  <si>
    <t>-34.59088960783957, -58.38660501283051</t>
  </si>
  <si>
    <t>https://www.google.com/maps/place/Yamile/@-34.5905057,-58.3873105,16.5z/data=!4m6!3m5!1s0x95bccabb4067ad25:0x8a22daa5073cfd2d!8m2!3d-34.590076!4d-58.3872314!16s%2Fg%2F11b6xd1gfh?authuser=0&amp;entry=ttu&amp;g_ep=EgoyMDI2MDMxNS4wIKXMDSoASAFQAw%3D%3D</t>
  </si>
  <si>
    <t>-34.59003107736141, -58.387469863007574</t>
  </si>
  <si>
    <t>https://www.google.com/maps/place/Supermercados+DIA/@-34.5895855,-58.3884185,15z/data=!4m6!3m5!1s0x95bccabb5478bfc7:0x96728a8bfe9b271!8m2!3d-34.5896888!4d-58.388534!16s%2Fg%2F11hdkj91rk?authuser=0&amp;entry=ttu&amp;g_ep=EgoyMDI2MDMxNS4wIKXMDSoASAFQAw%3D%3D</t>
  </si>
  <si>
    <t>-34.5889495412003, -58.38865448968399</t>
  </si>
  <si>
    <t>https://www.google.com/maps/place/Disco/@-34.5895273,-58.388492,15z/data=!4m6!3m5!1s0x95bccbaab5cab9db:0x4dcf76dedd105624!8m2!3d-34.5895289!4d-58.3886362!16s%2Fg%2F1hc0t24vf?authuser=0&amp;entry=ttu&amp;g_ep=EgoyMDI2MDMxNS4wIKXMDSoASAFQAw%3D%3D</t>
  </si>
  <si>
    <t>-34.58889138846851, -58.38885679927572</t>
  </si>
  <si>
    <t>https://www.google.com/maps/place/Carrefour+Express/@-34.5879379,-58.3904226,15z/data=!4m6!3m5!1s0x95bccb0d9a39c459:0x4f9d91065f13dbe1!8m2!3d-34.5880532!4d-58.3905785!16s%2Fg%2F11h5lv8x_6?authuser=0&amp;entry=ttu&amp;g_ep=EgoyMDI2MDMxNS4wIKXMDSoASAFQAw%3D%3D</t>
  </si>
  <si>
    <t>-34.58726660557336, -58.39052991058189</t>
  </si>
  <si>
    <t>https://www.google.com/maps/place/RES/@-34.5925818,-58.3910098,20.75z/data=!4m6!3m5!1s0x95bccb6dd104650f:0x4cf9adad26fc4928!8m2!3d-34.5926044!4d-58.391098!16s%2Fg%2F11ykv8m1lk?authuser=0&amp;entry=ttu&amp;g_ep=EgoyMDI2MDMxNS4wIKXMDSoASAFQAw%3D%3D</t>
  </si>
  <si>
    <t>-34.5925936582239, -58.391097878070816</t>
  </si>
  <si>
    <t>https://www.google.com/maps/place/Autoservicios+de+frutas+y+verduras+Noel/@-34.5929096,-58.3912454,20.25z/data=!4m6!3m5!1s0x95bccb6b6fa603eb:0xf9b23deba86dad1b!8m2!3d-34.5926988!4d-58.3912051!16s%2Fg%2F11kq1ssfgk?authuser=0&amp;entry=ttu&amp;g_ep=EgoyMDI2MDMxNS4wIKXMDSoASAFQAw%3D%3D</t>
  </si>
  <si>
    <t>-34.59267848461647, -58.391188410324716</t>
  </si>
  <si>
    <t>https://www.google.com/maps/place/Disco/@-34.5930248,-58.3914957,20.25z/data=!4m6!3m5!1s0x95bccb978cef60e1:0xe175e822d1ff7fbf!8m2!3d-34.5930658!4d-58.3915565!16s%2Fg%2F1hjgmdr6k?authuser=0&amp;entry=ttu&amp;g_ep=EgoyMDI2MDMxNS4wIKXMDSoASAFQAw%3D%3D</t>
  </si>
  <si>
    <t>-34.59304889837907, -58.391556050296806</t>
  </si>
  <si>
    <t>https://www.google.com/maps/place/El+Palacio+Frutas+Y+Verduras/@-34.593941,-58.3921529,20z/data=!4m6!3m5!1s0x95bccabdb40faf55:0x25c3149dc2f695c8!8m2!3d-34.5939409!4d-58.3919615!16s%2Fg%2F11v3r03c9d?authuser=0&amp;entry=ttu&amp;g_ep=EgoyMDI2MDMxNS4wIKXMDSoASAFQAw%3D%3D</t>
  </si>
  <si>
    <t>-34.5939277633847, -58.391957744013354</t>
  </si>
  <si>
    <t>https://www.google.com/maps/place/Verduler%C3%ADa+Teresa/@-34.5942076,-58.3905212,15z/data=!4m6!3m5!1s0x95bccabc3c6215ad:0x1025ab36f40028c7!8m2!3d-34.5943162!4d-58.390494!16s%2Fg%2F11b6dzc4sq?authuser=0&amp;entry=ttu&amp;g_ep=EgoyMDI2MDMxNS4wIKXMDSoASAFQAw%3D%3D</t>
  </si>
  <si>
    <t>-34.593571738599174, -58.39028513862491</t>
  </si>
  <si>
    <t>https://www.google.com/maps/place/LA+NATURALEZA/@-34.593264,-58.3955813,16.25z/data=!4m6!3m5!1s0x95bcca97d39ab7b3:0xe04d7ba2ce6b5fb3!8m2!3d-34.5935953!4d-58.3949523!16s%2Fg%2F11b6xh4bk6?authuser=0&amp;entry=ttu&amp;g_ep=EgoyMDI2MDMxNS4wIKXMDSoASAFQAw%3D%3D</t>
  </si>
  <si>
    <t>-34.59326402634652, -58.394814434800104</t>
  </si>
  <si>
    <t>https://www.google.com/maps/place/Bety/@-34.5952618,-58.394478,21z/data=!4m6!3m5!1s0x95bcca961e2de2f7:0x2ac32b2b2bf94612!8m2!3d-34.595213!4d-58.39451!16s%2Fg%2F1q62pxryg?authuser=0&amp;entry=ttu&amp;g_ep=EgoyMDI2MDMxNS4wIKXMDSoASAFQAw%3D%3D</t>
  </si>
  <si>
    <t>-34.59520600023819, -58.394495148933906</t>
  </si>
  <si>
    <t>https://www.google.com/maps/place/JST+URU/@-34.5932794,-58.3872841,15.25z/data=!4m6!3m5!1s0x95bccabb94d30df5:0xed645529b186f431!8m2!3d-34.5930472!4d-58.3874601!16s%2Fg%2F11fxc7t8k0?authuser=0&amp;entry=ttu&amp;g_ep=EgoyMDI2MDMxNS4wIKXMDSoASAFQAw%3D%3D</t>
  </si>
  <si>
    <t>-34.59220995427856, -58.38766304159196</t>
  </si>
  <si>
    <t>https://www.google.com/maps/place/Market+supermarket/@-34.594923,-58.387256,15z/data=!4m6!3m5!1s0x95bccb8f4758bdf5:0xddead6a635d587da!8m2!3d-34.5949497!4d-58.3871659!16s%2Fg%2F11t7bnhk2m?authuser=0&amp;entry=ttu&amp;g_ep=EgoyMDI2MDMxNS4wIKXMDSoASAFQAw%3D%3D</t>
  </si>
  <si>
    <t>-34.59460216929, -58.38708332425223</t>
  </si>
  <si>
    <t>https://www.google.com/maps/place/El+Emporio+de+la+Fruta+y+la+Verdura/@-34.5973596,-58.387029,15z/data=!4m6!3m5!1s0x95bccab8eecdc9ef:0xf34269aca86c27c7!8m2!3d-34.5973824!4d-58.3869108!16s%2Fg%2F1q62bkyt7?authuser=0&amp;entry=ttu&amp;g_ep=EgoyMDI2MDMxNS4wIKXMDSoASAFQAw%3D%3D</t>
  </si>
  <si>
    <t>-34.5970581117391, -58.38705484854052</t>
  </si>
  <si>
    <t>https://www.google.com/maps/place/Calma+Brava/@-34.5976304,-58.387005,15z/data=!4m6!3m5!1s0x95bccbaf93f3118b:0x12c53138ab21a465!8m2!3d-34.5976605!4d-58.386953!16s%2Fg%2F11fkkznlwr?authuser=0&amp;entry=ttu&amp;g_ep=EgoyMDI2MDMxNS4wIKXMDSoASAFQAw%3D%3D</t>
  </si>
  <si>
    <t>-34.59678252860113, -58.38685479583177</t>
  </si>
  <si>
    <t>-34.59875150180119, -58.38682571296599</t>
  </si>
  <si>
    <t>https://www.google.com/maps/place/Uruguay+855,+C1015+ABQ,+Cdad.+Aut%C3%B3noma+de+Buenos+Aires/@-34.5987896,-58.3868556,21z/data=!4m6!3m5!1s0x95bccab89cf6b051:0x8dcb9f9a69c12191!8m2!3d-34.5987618!4d-58.3868238!16s%2Fg%2F11s707nyw2?authuser=0&amp;entry=ttu&amp;g_ep=EgoyMDI2MDMxNS4wIKXMDSoASAFQAw%3D%3D</t>
  </si>
  <si>
    <t>https://www.google.com/maps/place/Disco/@-34.5963934,-58.3857078,15z/data=!4m6!3m5!1s0x95bccbf542c29379:0xe17704f4cf56b6e6!8m2!3d-34.5964018!4d-58.3854787!16s%2Fg%2F1hc3d3mwz?authuser=0&amp;entry=ttu&amp;g_ep=EgoyMDI2MDMxNS4wIKXMDSoASAFQAw%3D%3D</t>
  </si>
  <si>
    <t>-34.595616203423546, -58.3856863225489</t>
  </si>
  <si>
    <t>https://www.google.com/maps/place/Supermercado+Dia/@-34.5968724,-58.3856875,15z/data=!4m6!3m5!1s0x95bccb0702345687:0x5a9bd4dad70a8ffb!8m2!3d-34.5968841!4d-58.3855354!16s%2Fg%2F11k40l76kb?authuser=0&amp;entry=ttu&amp;g_ep=EgoyMDI2MDMxNS4wIKXMDSoASAFQAw%3D%3D</t>
  </si>
  <si>
    <t>-34.59637786353867, -58.38545146192908</t>
  </si>
  <si>
    <t>https://www.google.com/maps/place/L+%26+L+Market/@-34.5981526,-58.3855076,15z/data=!4m6!3m5!1s0x95bccab87bd3cc43:0xf7264764bc35a87!8m2!3d-34.5983327!4d-58.3854565!16s%2Fg%2F11q9_mz_rn?authuser=0&amp;entry=ttu&amp;g_ep=EgoyMDI2MDMxNS4wIKXMDSoASAFQAw%3D%3D</t>
  </si>
  <si>
    <t>-34.597587420643436, -58.38544318005452</t>
  </si>
  <si>
    <t>-34.5983602563762, -58.385457134064545</t>
  </si>
  <si>
    <t>https://www.google.com/maps/@-34.5984215,-58.3854534,21z?authuser=0&amp;entry=ttu&amp;g_ep=EgoyMDI2MDMxNS4wIKXMDSoASAFQAw%3D%3D</t>
  </si>
  <si>
    <t>https://www.google.com/maps/place/Carrefour+Express/@-34.5988283,-58.3854803,15z/data=!4m6!3m5!1s0x95bccac786e7f5cf:0x7e756036382a33be!8m2!3d-34.5987811!4d-58.3853666!16s%2Fg%2F11_txzkkg?authuser=0&amp;entry=ttu&amp;g_ep=EgoyMDI2MDMxNS4wIKXMDSoASAFQAw%3D%3D</t>
  </si>
  <si>
    <t>-34.59794519432752, -58.385072609021684</t>
  </si>
  <si>
    <t>-34.59842083966213, -58.384002691223756</t>
  </si>
  <si>
    <t>https://www.google.com/maps/place/Libertad+867,+C1012AAQ+Cdad.+Aut%C3%B3noma+de+Buenos+Aires/@-34.5984959,-58.3841646,21z/data=!4m6!3m5!1s0x95bccac7f6d9c4b5:0xbe268e73b29a7ed8!8m2!3d-34.5984324!4d-58.3840063!16s%2Fg%2F11rg66q4cb?authuser=0&amp;entry=ttu&amp;g_ep=EgoyMDI2MDMxNS4wIKXMDSoASAFQAw%3D%3D</t>
  </si>
  <si>
    <t>https://www.google.com/maps/place/Carrefour+Express/@-34.5963388,-58.38423,15z/data=!4m6!3m5!1s0x95bccab8374c8e27:0x6095a864a936046c!8m2!3d-34.5962837!4d-58.3841324!16s%2Fg%2F11b6gcx18w?authuser=0&amp;entry=ttu&amp;g_ep=EgoyMDI2MDMxNS4wIKXMDSoASAFQAw%3D%3D</t>
  </si>
  <si>
    <t>-34.59563228810518, -58.384294398129406</t>
  </si>
  <si>
    <t>-34.595963242190834, -58.38420016145153</t>
  </si>
  <si>
    <t>https://www.google.com/maps/@-34.5960372,-58.3842676,21z?authuser=0&amp;entry=ttu&amp;g_ep=EgoyMDI2MDMxNS4wIKXMDSoASAFQAw%3D%3D</t>
  </si>
  <si>
    <t>https://www.google.com/maps/place/Diki/@-34.5950016,-58.3843921,15z/data=!4m6!3m5!1s0x95bccb7870009959:0x79082e7444cea85a!8m2!3d-34.5950243!4d-58.3842786!16s%2Fg%2F11kj_r98v6?authuser=0&amp;entry=ttu&amp;g_ep=EgoyMDI2MDMxNS4wIKXMDSoASAFQAw%3D%3D</t>
  </si>
  <si>
    <t>-34.59461301802697, -58.38437066252553</t>
  </si>
  <si>
    <t>https://www.google.com/maps/place/Supermercados+DIA/@-34.5933389,-58.3844842,15z/data=!4m6!3m5!1s0x95bccb23f3fba157:0xc43242e08411e9c6!8m2!3d-34.5933557!4d-58.384281!16s%2Fg%2F11gw284p1v?authuser=0&amp;entry=ttu&amp;g_ep=EgoyMDI2MDMxNS4wIKXMDSoASAFQAw%3D%3D</t>
  </si>
  <si>
    <t>-34.59270298086338, -58.3842052739984</t>
  </si>
  <si>
    <t>https://www.google.com/maps/place/Autoservicio+Fruteria+Verduleria+Or%C3%A9mium/@-34.599282,-58.3858659,15z/data=!4m6!3m5!1s0x95bccac782717f19:0x8c3bed4cef66340!8m2!3d-34.5991224!4d-58.3859196!16s%2Fg%2F11lv992c8p?authuser=0&amp;entry=ttu&amp;g_ep=EgoyMDI2MDMxNS4wIKXMDSoASAFQAw%3D%3D</t>
  </si>
  <si>
    <t>-34.59822226022164, -58.386016076569724</t>
  </si>
  <si>
    <t>https://www.google.com/maps/place/Supermercados+DIA/@-34.5993024,-58.3863095,15z/data=!4m6!3m5!1s0x95bccb990c97f2ed:0xa9f9a98b9e6d9f65!8m2!3d-34.5989723!4d-58.3862539!16s%2Fg%2F11p0n02f9_?authuser=0&amp;entry=ttu&amp;g_ep=EgoyMDI2MDMxNS4wIKXMDSoASAFQAw%3D%3D</t>
  </si>
  <si>
    <t>-34.59859587354077, -58.38598764337407</t>
  </si>
  <si>
    <t>https://www.google.com/maps/place/Carrefour+Express+Avenida+C%C3%B3rdoba/@-34.599306,-58.3874439,15z/data=!4m6!3m5!1s0x95bccac76084a3c1:0x47d8fbd63e5eb5de!8m2!3d-34.5991715!4d-58.3874994!16s%2Fg%2F1tggvqc8?authuser=0&amp;entry=ttu&amp;g_ep=EgoyMDI2MDMxNS4wIKXMDSoASAFQAw%3D%3D</t>
  </si>
  <si>
    <t>-34.598210900662195, -58.387679972915926</t>
  </si>
  <si>
    <t>https://www.google.com/maps/place/Salis+Market/@-34.5980569,-58.3882499,15z/data=!4m6!3m5!1s0x95bccb094df4b291:0x8616f4b471de4b00!8m2!3d-34.597984!4d-58.3881511!16s%2Fg%2F11p5ht7__k?authuser=0&amp;entry=ttu&amp;g_ep=EgoyMDI2MDMxNS4wIKXMDSoASAFQAw%3D%3D</t>
  </si>
  <si>
    <t>-34.597279760428734, -58.38805679316539</t>
  </si>
  <si>
    <t>https://www.google.com/maps/place/LumenEstudio/@-34.5976464,-58.388459,19.46z/data=!4m6!3m5!1s0x95bccbc857b0716d:0xfc66d4dbd2ca98a9!8m2!3d-34.5976586!4d-58.3883355!16s%2Fg%2F11yk4mqdpp?authuser=0&amp;entry=ttu&amp;g_ep=EgoyMDI2MDMxNS4wIKXMDSoASAFQAw%3D%3D</t>
  </si>
  <si>
    <t>-34.597630294474776, -58.38834677902095</t>
  </si>
  <si>
    <t>https://www.google.com/maps/place/Carrefour+Express/@-34.5963769,-58.3883753,15z/data=!4m6!3m5!1s0x95bccab92e4491c7:0xf4c7ab62c88423db!8m2!3d-34.5963809!4d-58.3881841!16s%2Fg%2F11_q7tg_6?authuser=0&amp;entry=ttu&amp;g_ep=EgoyMDI2MDMxNS4wIKXMDSoASAFQAw%3D%3D</t>
  </si>
  <si>
    <t>-34.595882287342945, -58.38809632506845</t>
  </si>
  <si>
    <t>https://www.google.com/maps/place/La+Huerta+De+Ventu-Rey/@-34.5952282,-58.38999,15z/data=!4m6!3m5!1s0x95bccabea30d4fdb:0xcca79b540b46bb70!8m2!3d-34.5952833!4d-58.3901254!16s%2Fg%2F11p65qz16g?authuser=0&amp;entry=ttu&amp;g_ep=EgoyMDI2MDMxNS4wIKXMDSoASAFQAw%3D%3D</t>
  </si>
  <si>
    <t>-34.59445101775286, -58.39014023071508</t>
  </si>
  <si>
    <t>https://www.google.com/maps/place/Disco/@-34.5965478,-58.3898651,15z/data=!4m6!3m5!1s0x95bccabec45fc743:0x6cf728830f7aaea8!8m2!3d-34.5967024!4d-58.3897479!16s%2Fg%2F1hc11gds4?authuser=0&amp;entry=ttu&amp;g_ep=EgoyMDI2MDMxNS4wIKXMDSoASAFQAw%3D%3D</t>
  </si>
  <si>
    <t>-34.596159221906895, -58.38971489422161</t>
  </si>
  <si>
    <t>https://www.google.com/maps/place/Autoservicio/@-34.59688,-58.3918319,15z/data=!4m6!3m5!1s0x95bccabe5e95f0a1:0xe1fe0c3e0cc9404a!8m2!3d-34.5969419!4d-58.3919316!16s%2Fg%2F11gfdfd_g_?authuser=0&amp;entry=ttu&amp;g_ep=EgoyMDI2MDMxNS4wIKXMDSoASAFQAw%3D%3D</t>
  </si>
  <si>
    <t>-34.59620882414304, -58.39215371963322</t>
  </si>
  <si>
    <t>https://www.google.com/maps/place/Carrefour+Express/@-34.5858615,-58.3876954,15z/data=!4m6!3m5!1s0x95bccaa46d65bb01:0x11ce8f7390e4a0a7!8m2!3d-34.5858565!4d-58.387915!16s%2Fg%2F11b6_dlvyp?authuser=0&amp;entry=ttu&amp;g_ep=EgoyMDI2MDMxNS4wIKXMDSoASAFQAw%3D%3D</t>
  </si>
  <si>
    <t>-34.58480157579597, -58.38788847757029</t>
  </si>
  <si>
    <t>POINT(-58.379353879762654 -34.592751398651934)</t>
  </si>
  <si>
    <t>POINT(-58.380793893254214 -34.592594834120035)</t>
  </si>
  <si>
    <t>POINT(-58.379419639166684 -34.593884902316674)</t>
  </si>
  <si>
    <t>POINT(-58.379362077909626 -34.59275009477967)</t>
  </si>
  <si>
    <t>POINT(-58.380312094986074 -34.5926072032849)</t>
  </si>
  <si>
    <t>POINT(-58.38370912567533 -34.592641503372406)</t>
  </si>
  <si>
    <t>POINT(-58.38444508149447 -34.59277007165979)</t>
  </si>
  <si>
    <t>POINT( -58.38596742567537 -34.59267785990272)</t>
  </si>
  <si>
    <t>POINT(-58.3909524545115 -34.59219447753868)</t>
  </si>
  <si>
    <t>POINT(-58.39231031033092 -34.59206889462266)</t>
  </si>
  <si>
    <t>POINT(-58.392908439166945 -34.59257752766326)</t>
  </si>
  <si>
    <t>POINT(-58.39304742567526 -34.593234860849975)</t>
  </si>
  <si>
    <t>POINT(-58.39334189683926 -34.594321035169656)</t>
  </si>
  <si>
    <t>POINT(-58.39334315092651 -34.594490062571474)</t>
  </si>
  <si>
    <t>POINT(-58.39213403916676 -34.595064836750986)</t>
  </si>
  <si>
    <t>POINT(-58.39407218334746 -34.59479003166138)</t>
  </si>
  <si>
    <t>POINT(-58.39583289683914 -34.59366103376648)</t>
  </si>
  <si>
    <t>POINT(-58.39499749683903 -34.59257003144718)</t>
  </si>
  <si>
    <t>POINT(-58.39503179683923 -34.59257105972096)</t>
  </si>
  <si>
    <t>POINT(-58.39043052567507 -34.59495064107324)</t>
  </si>
  <si>
    <t>POINT(-58.38120022382222 -34.594037298388706)</t>
  </si>
  <si>
    <t>POINT(-58.37970559498623 -34.59392628973621)</t>
  </si>
  <si>
    <t>POINT(-58.3784440545115 -34.59163019378331)</t>
  </si>
  <si>
    <t>POINT(-58.38410726800311 -34.590163026330394)</t>
  </si>
  <si>
    <t>POINT(-58.38239918334751 -34.59429033075849)</t>
  </si>
  <si>
    <t>POINT(-58.38706697964162 -34.59543370577387)</t>
  </si>
  <si>
    <t>POINT(-58.38973843916656 -34.59743784715442)</t>
  </si>
  <si>
    <t>POINT(-58.38824001033042 -34.59816860629356)</t>
  </si>
  <si>
    <t>POINT(-58.38010633916672 -34.59753119433429)</t>
  </si>
  <si>
    <t>POINT(-58.37928311033056 -34.59740488397706)</t>
  </si>
  <si>
    <t>POINT(-58.37923519683892 -34.59749987347052)</t>
  </si>
  <si>
    <t>POINT(-58.37819278149436 -34.59745509957847)</t>
  </si>
  <si>
    <t>POINT(-58.37417729631218 -34.59426121625223)</t>
  </si>
  <si>
    <t>POINT(-58.37404856809685 -34.59631003912089)</t>
  </si>
  <si>
    <t>POINT(-58.37417102171048 -34.59997516974474)</t>
  </si>
  <si>
    <t>POINT(-58.37413921731743 -34.60011764712355)</t>
  </si>
  <si>
    <t>POINT(-58.37393568321084 -34.60077751139046)</t>
  </si>
  <si>
    <t>POINT(-58.37683840370606 -34.60175706983124)</t>
  </si>
  <si>
    <t>POINT(-58.38062693141472 -34.60252272052468)</t>
  </si>
  <si>
    <t>POINT(-58.37185137991847 -34.60166177027791)</t>
  </si>
  <si>
    <t>POINT(-58.37642635938354 -34.59892601749478)</t>
  </si>
  <si>
    <t>POINT(-58.37689074687033 -34.59998503450598)</t>
  </si>
  <si>
    <t>POINT(-58.37689410732305 -34.59980923467945)</t>
  </si>
  <si>
    <t>POINT(-58.37982390410851 -34.59924501158014)</t>
  </si>
  <si>
    <t>POINT(-58.36988397748167 -34.59947443354974)</t>
  </si>
  <si>
    <t>POINT(-58.37194337445588 -34.59910442371684)</t>
  </si>
  <si>
    <t>POINT(-58.37686990171341 -34.60000418862567)</t>
  </si>
  <si>
    <t>POINT(-58.37690179873412 -34.59979020524474)</t>
  </si>
  <si>
    <t>POINT(-58.37313520060733 -34.59994046893809)</t>
  </si>
  <si>
    <t>POINT(-58.37420641317498 -34.60025991168651)</t>
  </si>
  <si>
    <t>POINT(-58.37623616421739 -34.60044905155701)</t>
  </si>
  <si>
    <t>POINT(-58.37876730006283 -34.60098530899635)</t>
  </si>
  <si>
    <t>POINT(-58.38023122022828 -34.59413206311817)</t>
  </si>
  <si>
    <t>POINT(-58.38660501283051 -34.59088960783957)</t>
  </si>
  <si>
    <t>POINT(-58.38885679927572 -34.58889138846851)</t>
  </si>
  <si>
    <t>POINT(-58.39052991058189 -34.58726660557336)</t>
  </si>
  <si>
    <t>POINT(-58.39028513862491 -34.59357173859917)</t>
  </si>
  <si>
    <t>POINT(-58.38766304159196 -34.59220995427856)</t>
  </si>
  <si>
    <t>POINT(-58.38685479583177 -34.59678252860113)</t>
  </si>
  <si>
    <t>POINT(-58.38682571296599 -34.59875150180119)</t>
  </si>
  <si>
    <t>POINT(-58.38545146192908 -34.59637786353867)</t>
  </si>
  <si>
    <t>POINT(-58.38544318005452 -34.59758742064343)</t>
  </si>
  <si>
    <t>POINT(-58.38420016145153 -34.59596324219083)</t>
  </si>
  <si>
    <t>POINT(-58.38437066252553 -34.59461301802697)</t>
  </si>
  <si>
    <t>POINT(-58.38598764337407 -34.59859587354077)</t>
  </si>
  <si>
    <t>POINT(-58.38805679316539 -34.59727976042873)</t>
  </si>
  <si>
    <t>POINT(-58.38834677902095 -34.59763029447477)</t>
  </si>
  <si>
    <t>POINT(-58.38809632506845 -34.59588228734294)</t>
  </si>
  <si>
    <t>POINT(-58.39014023071508 -34.59445101775286)</t>
  </si>
  <si>
    <t>POINT(-58.38971489422161 -34.59615922190689)</t>
  </si>
  <si>
    <t>POINT(-58.39215371963322 -34.59620882414304)</t>
  </si>
  <si>
    <t>POINT(-58.38788847757029 -34.58480157579597)</t>
  </si>
  <si>
    <t>csp_0139</t>
  </si>
  <si>
    <t>csp_0140</t>
  </si>
  <si>
    <t>csp_0141</t>
  </si>
  <si>
    <t>csp_0142</t>
  </si>
  <si>
    <t>csp_0143</t>
  </si>
  <si>
    <t>csp_0144</t>
  </si>
  <si>
    <t>csp_0145</t>
  </si>
  <si>
    <t>csp_0146</t>
  </si>
  <si>
    <t>csp_0147</t>
  </si>
  <si>
    <t>csp_0148</t>
  </si>
  <si>
    <t>csp_0149</t>
  </si>
  <si>
    <t>csp_0150</t>
  </si>
  <si>
    <t>csp_0151</t>
  </si>
  <si>
    <t>csp_0152</t>
  </si>
  <si>
    <t>csp_0153</t>
  </si>
  <si>
    <t>csp_0154</t>
  </si>
  <si>
    <t>csp_0155</t>
  </si>
  <si>
    <t>csp_0156</t>
  </si>
  <si>
    <t>csp_0157</t>
  </si>
  <si>
    <t>csp_0158</t>
  </si>
  <si>
    <t>csp_0159</t>
  </si>
  <si>
    <t>csp_0160</t>
  </si>
  <si>
    <t>csp_0161</t>
  </si>
  <si>
    <t>csp_0162</t>
  </si>
  <si>
    <t>csp_0163</t>
  </si>
  <si>
    <t>csp_0164</t>
  </si>
  <si>
    <t>csp_0165</t>
  </si>
  <si>
    <t>csp_0166</t>
  </si>
  <si>
    <t>csp_0167</t>
  </si>
  <si>
    <t>csp_0168</t>
  </si>
  <si>
    <t>csp_0169</t>
  </si>
  <si>
    <t>csp_0170</t>
  </si>
  <si>
    <t>csp_0171</t>
  </si>
  <si>
    <t>csp_0172</t>
  </si>
  <si>
    <t>csp_0173</t>
  </si>
  <si>
    <t>csp_0174</t>
  </si>
  <si>
    <t>csp_0175</t>
  </si>
  <si>
    <t>csp_0176</t>
  </si>
  <si>
    <t>csp_0177</t>
  </si>
  <si>
    <t>csp_0178</t>
  </si>
  <si>
    <t>csp_0179</t>
  </si>
  <si>
    <t>csp_0180</t>
  </si>
  <si>
    <t>csp_0181</t>
  </si>
  <si>
    <t>csp_0182</t>
  </si>
  <si>
    <t>csp_0183</t>
  </si>
  <si>
    <t>csp_0184</t>
  </si>
  <si>
    <t>csp_0185</t>
  </si>
  <si>
    <t>csp_0186</t>
  </si>
  <si>
    <t>csp_0187</t>
  </si>
  <si>
    <t>csp_0188</t>
  </si>
  <si>
    <t>csp_0189</t>
  </si>
  <si>
    <t>csp_0190</t>
  </si>
  <si>
    <t>csp_0191</t>
  </si>
  <si>
    <t>csp_0192</t>
  </si>
  <si>
    <t>csp_0193</t>
  </si>
  <si>
    <t>csp_0194</t>
  </si>
  <si>
    <t>csp_0195</t>
  </si>
  <si>
    <t>csp_0196</t>
  </si>
  <si>
    <t>csp_0197</t>
  </si>
  <si>
    <t>csp_0198</t>
  </si>
  <si>
    <t>csp_0199</t>
  </si>
  <si>
    <t>csp_0200</t>
  </si>
  <si>
    <t>csp_0201</t>
  </si>
  <si>
    <t>csp_0202</t>
  </si>
  <si>
    <t>csp_0203</t>
  </si>
  <si>
    <t>csp_0204</t>
  </si>
  <si>
    <t>csp_0205</t>
  </si>
  <si>
    <t>csp_0206</t>
  </si>
  <si>
    <t>csp_0207</t>
  </si>
  <si>
    <t>csp_0208</t>
  </si>
  <si>
    <t>csp_0209</t>
  </si>
  <si>
    <t>csp_0210</t>
  </si>
  <si>
    <t>POINT(-58.37871522932065 -34.5926340366333)</t>
  </si>
  <si>
    <t>POINT(-58.38865448968399 -34.5889495412003)</t>
  </si>
  <si>
    <t>POINT(-58.38708332425223 -34.59460216929)</t>
  </si>
  <si>
    <t>POINT(-58.38705484854052 -34.5970581117391)</t>
  </si>
  <si>
    <t>POINT(-58.387679972915926 -34.59821090066219)</t>
  </si>
  <si>
    <t>POINT(-58.386016076569724 -34.59822226022164)</t>
  </si>
  <si>
    <t>POINT(-58.3856863225489 -34.59561620342354)</t>
  </si>
  <si>
    <t>POINT(-58.394495148933906 -34.59520600023819)</t>
  </si>
  <si>
    <t>POINT(-58.394814434800104 -34.59326402634652)</t>
  </si>
  <si>
    <t>POINT(-58.391097878070816 -34.5925936582239)</t>
  </si>
  <si>
    <t>POINT(-58.3842052739984 -34.59270298086338)</t>
  </si>
  <si>
    <t>POINT(-58.385072609021684 -34.59794519432752)</t>
  </si>
  <si>
    <t>POINT(-58.384002691223756 -34.59842083966213)</t>
  </si>
  <si>
    <t>POINT(-58.384294398129406 -34.59563228810518)</t>
  </si>
  <si>
    <t>POINT(-58.391957744013354 -34.5939277633847)</t>
  </si>
  <si>
    <t>POINT(-58.391556050296806 -34.59304889837907)</t>
  </si>
  <si>
    <t>POINT(-58.391188410324716 -34.59267848461647)</t>
  </si>
  <si>
    <t>POINT(-58.379632744793824 -34.59625186163353)</t>
  </si>
  <si>
    <t>POINT(-58.374595405833276 -34.59733927075751)</t>
  </si>
  <si>
    <t>POINT(-58.3739972779002 -34.59626704689463)</t>
  </si>
  <si>
    <t>POINT(-58.379209586630644 -34.60099303788245)</t>
  </si>
  <si>
    <t>POINT(-58.378357857679845 -34.60102299154477)</t>
  </si>
  <si>
    <t>POINT(-58.378474090267524 -34.60114125728994)</t>
  </si>
  <si>
    <t>POINT(-58.372177357763256 -34.59897410526749)</t>
  </si>
  <si>
    <t>POINT(-58.3698723348171 -34.59948039711649)</t>
  </si>
  <si>
    <t>POINT(-58.372531365966914 -34.60094177487859)</t>
  </si>
  <si>
    <t>POINT(-58.3779792251339 -34.60084633613232)</t>
  </si>
  <si>
    <t>POINT(-58.374105006764026 -34.60160556659449)</t>
  </si>
  <si>
    <t>POINT(-58.374490194743295 -34.59631975320537)</t>
  </si>
  <si>
    <t>POINT(-58.38013110947526 -34.5994756010369)</t>
  </si>
  <si>
    <t>POINT(-58.385457134064545 -34.5983602563762)</t>
  </si>
  <si>
    <t>POINT(-58.387469863007574 -34.59003107736141)</t>
  </si>
  <si>
    <t>MEDIANA 12/06/25 A 17/03/25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</si>
</sst>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Calibri"/>
    </font>
    <font>
      <b/>
      <sz val="8"/>
      <color theme="1"/>
      <name val="Calibri"/>
    </font>
    <font>
      <b/>
      <sz val="8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1" fillId="2" borderId="1" xfId="0" applyFont="1" applyFill="1" applyBorder="1" applyAlignment="1">
      <alignment horizontal="center" vertical="center" shrinkToFit="1"/>
    </xf>
    <xf numFmtId="0" fontId="4" fillId="0" borderId="0" xfId="1" applyAlignment="1">
      <alignment shrinkToFit="1"/>
    </xf>
    <xf numFmtId="0" fontId="0" fillId="0" borderId="0" xfId="0" applyAlignment="1">
      <alignment shrinkToFit="1"/>
    </xf>
    <xf numFmtId="0" fontId="0" fillId="4" borderId="0" xfId="0" applyFill="1"/>
    <xf numFmtId="21" fontId="0" fillId="0" borderId="0" xfId="0" applyNumberFormat="1"/>
    <xf numFmtId="0" fontId="5" fillId="2" borderId="1" xfId="0" applyFont="1" applyFill="1" applyBorder="1" applyAlignment="1">
      <alignment horizontal="center" vertical="center" wrapText="1"/>
    </xf>
    <xf numFmtId="14" fontId="0" fillId="0" borderId="0" xfId="0" applyNumberFormat="1"/>
    <xf numFmtId="14" fontId="5" fillId="2" borderId="1" xfId="0" applyNumberFormat="1" applyFont="1" applyFill="1" applyBorder="1" applyAlignment="1">
      <alignment horizontal="center" vertical="center" wrapText="1"/>
    </xf>
    <xf numFmtId="14" fontId="0" fillId="5" borderId="0" xfId="0" applyNumberFormat="1" applyFill="1"/>
    <xf numFmtId="0" fontId="0" fillId="5" borderId="0" xfId="0" applyFill="1"/>
    <xf numFmtId="0" fontId="0" fillId="5" borderId="0" xfId="0" applyFill="1" applyAlignment="1">
      <alignment shrinkToFit="1"/>
    </xf>
    <xf numFmtId="20" fontId="0" fillId="0" borderId="0" xfId="0" applyNumberFormat="1"/>
    <xf numFmtId="0" fontId="0" fillId="6" borderId="0" xfId="0" applyFill="1"/>
    <xf numFmtId="14" fontId="0" fillId="7" borderId="0" xfId="0" applyNumberFormat="1" applyFill="1"/>
    <xf numFmtId="0" fontId="0" fillId="8" borderId="0" xfId="0" applyFill="1"/>
    <xf numFmtId="2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google.com/maps?q=-34.58771896362305%2C-58.38430404663086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66682434082,-58.380836486816406&amp;z=17&amp;hl=es" TargetMode="External"/><Relationship Id="rId47" Type="http://schemas.openxmlformats.org/officeDocument/2006/relationships/hyperlink" Target="https://www.google.com/maps?q=-34.59523391723633,-58.39204406738281&amp;z=17&amp;hl=es" TargetMode="External"/><Relationship Id="rId50" Type="http://schemas.openxmlformats.org/officeDocument/2006/relationships/hyperlink" Target="https://www.google.com/maps?q=-34.59233474731445,-58.39065933227539&amp;z=17&amp;hl=es" TargetMode="External"/><Relationship Id="rId55" Type="http://schemas.openxmlformats.org/officeDocument/2006/relationships/hyperlink" Target="https://www.google.com/maps?q=-34.59187698364258,-58.39030838012695&amp;z=17&amp;hl=es" TargetMode="External"/><Relationship Id="rId63" Type="http://schemas.openxmlformats.org/officeDocument/2006/relationships/hyperlink" Target="https://maps.google.com/maps?q=-34.598236083984375%2C-58.376956939697266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1921386719,-58.38087463378906&amp;z=17&amp;hl=es" TargetMode="External"/><Relationship Id="rId40" Type="http://schemas.openxmlformats.org/officeDocument/2006/relationships/hyperlink" Target="https://www.google.com/maps?q=-34.595916748046875,-58.37848663330078&amp;z=17&amp;hl=es" TargetMode="External"/><Relationship Id="rId45" Type="http://schemas.openxmlformats.org/officeDocument/2006/relationships/hyperlink" Target="https://www.google.com/maps?q=-34.596981048583984,-58.391845703125&amp;z=17&amp;hl=es" TargetMode="External"/><Relationship Id="rId53" Type="http://schemas.openxmlformats.org/officeDocument/2006/relationships/hyperlink" Target="https://www.google.com/maps?q=-34.591915130615234,-58.39011001586914&amp;z=17&amp;hl=es" TargetMode="External"/><Relationship Id="rId58" Type="http://schemas.openxmlformats.org/officeDocument/2006/relationships/hyperlink" Target="https://www.google.com/maps?q=-34.59014892578125,-58.388126373291016&amp;z=17&amp;hl=es" TargetMode="External"/><Relationship Id="rId66" Type="http://schemas.openxmlformats.org/officeDocument/2006/relationships/hyperlink" Target="https://www.google.com/maps?q=-34.594486236572266,-58.381168365478516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www.google.com/maps?q=-34.59111022949219,-58.39280319213867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7015380859375,-58.386722564697266&amp;z=17&amp;hl=es" TargetMode="External"/><Relationship Id="rId48" Type="http://schemas.openxmlformats.org/officeDocument/2006/relationships/hyperlink" Target="https://maps.app.goo.gl/NnzZjF3J42cx8rry5" TargetMode="External"/><Relationship Id="rId56" Type="http://schemas.openxmlformats.org/officeDocument/2006/relationships/hyperlink" Target="https://www.google.com/maps?q=-34.591819763183594,-58.38996887207031&amp;z=17&amp;hl=es" TargetMode="External"/><Relationship Id="rId64" Type="http://schemas.openxmlformats.org/officeDocument/2006/relationships/hyperlink" Target="https://www.google.com/maps?q=-34.5941162109375,-58.37980270385742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212875366211,-58.39039993286133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286880493164,-58.37950897216797&amp;z=17&amp;hl=es" TargetMode="External"/><Relationship Id="rId46" Type="http://schemas.openxmlformats.org/officeDocument/2006/relationships/hyperlink" Target="https://www.google.com/maps?q=-34.597049713134766,-58.3918571472168&amp;z=17&amp;hl=es" TargetMode="External"/><Relationship Id="rId59" Type="http://schemas.openxmlformats.org/officeDocument/2006/relationships/hyperlink" Target="https://www.google.com/maps?q=-34.592044830322266,-58.39152145385742&amp;z=17&amp;hl=es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6309661865234,-58.37841796875&amp;z=17&amp;hl=es" TargetMode="External"/><Relationship Id="rId54" Type="http://schemas.openxmlformats.org/officeDocument/2006/relationships/hyperlink" Target="https://www.google.com/maps?q=-34.59193801879883,-58.3901481628418&amp;z=17&amp;hl=es" TargetMode="External"/><Relationship Id="rId62" Type="http://schemas.openxmlformats.org/officeDocument/2006/relationships/hyperlink" Target="https://www.google.com/maps?q=-34.59097671508789,-58.39504623413086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7619934082,-58.383609771728516&amp;z=17&amp;hl=es" TargetMode="External"/><Relationship Id="rId49" Type="http://schemas.openxmlformats.org/officeDocument/2006/relationships/hyperlink" Target="https://www.google.com/maps?q=-34.59260940551758,-58.39096450805664&amp;z=17&amp;hl=es" TargetMode="External"/><Relationship Id="rId57" Type="http://schemas.openxmlformats.org/officeDocument/2006/relationships/hyperlink" Target="https://www.google.com/maps?q=-34.591373443603516,-58.389549255371094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110748291016,-58.38776779174805&amp;z=17&amp;hl=es" TargetMode="External"/><Relationship Id="rId52" Type="http://schemas.openxmlformats.org/officeDocument/2006/relationships/hyperlink" Target="https://www.google.com/maps?q=-34.59202194213867,-58.39025115966797&amp;z=17&amp;hl=es" TargetMode="External"/><Relationship Id="rId60" Type="http://schemas.openxmlformats.org/officeDocument/2006/relationships/hyperlink" Target="https://www.google.com/maps?q=-34.59115219116211,-58.39268493652344&amp;z=17&amp;hl=es" TargetMode="External"/><Relationship Id="rId65" Type="http://schemas.openxmlformats.org/officeDocument/2006/relationships/hyperlink" Target="https://www.google.com/maps?q=-34.59412384033203,-58.37968444824219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39" Type="http://schemas.openxmlformats.org/officeDocument/2006/relationships/hyperlink" Target="https://www.google.com/maps?q=-34.592735290527344,-58.37911605834961&amp;z=17&amp;hl=es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26" Type="http://schemas.openxmlformats.org/officeDocument/2006/relationships/hyperlink" Target="https://maps.google.com/maps?q=-34.58771896362305%2C-58.38430404663086&amp;z=17&amp;hl=es" TargetMode="External"/><Relationship Id="rId39" Type="http://schemas.openxmlformats.org/officeDocument/2006/relationships/hyperlink" Target="https://www.google.com/maps?q=-34.596309661865234,-58.37841796875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7110748291016,-58.38776779174805&amp;z=17&amp;hl=es" TargetMode="External"/><Relationship Id="rId47" Type="http://schemas.openxmlformats.org/officeDocument/2006/relationships/hyperlink" Target="https://www.google.com/maps?q=-34.59260940551758,-58.39096450805664&amp;z=17&amp;hl=es" TargetMode="External"/><Relationship Id="rId50" Type="http://schemas.openxmlformats.org/officeDocument/2006/relationships/hyperlink" Target="https://www.google.com/maps?q=-34.59202194213867,-58.39025115966797&amp;z=17&amp;hl=es" TargetMode="External"/><Relationship Id="rId55" Type="http://schemas.openxmlformats.org/officeDocument/2006/relationships/hyperlink" Target="https://www.google.com/maps?q=-34.591373443603516,-58.389549255371094&amp;z=17&amp;hl=es" TargetMode="External"/><Relationship Id="rId63" Type="http://schemas.openxmlformats.org/officeDocument/2006/relationships/hyperlink" Target="https://www.google.com/maps?q=-34.59412384033203,-58.37968444824219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6880493164,-58.37950897216797&amp;z=17&amp;hl=es" TargetMode="External"/><Relationship Id="rId40" Type="http://schemas.openxmlformats.org/officeDocument/2006/relationships/hyperlink" Target="https://www.google.com/maps?q=-34.5966682434082,-58.380836486816406&amp;z=17&amp;hl=es" TargetMode="External"/><Relationship Id="rId45" Type="http://schemas.openxmlformats.org/officeDocument/2006/relationships/hyperlink" Target="https://www.google.com/maps?q=-34.59523391723633,-58.39204406738281&amp;z=17&amp;hl=es" TargetMode="External"/><Relationship Id="rId53" Type="http://schemas.openxmlformats.org/officeDocument/2006/relationships/hyperlink" Target="https://www.google.com/maps?q=-34.59187698364258,-58.39030838012695&amp;z=17&amp;hl=es" TargetMode="External"/><Relationship Id="rId58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maps.google.com/maps?q=-34.598236083984375%2C-58.376956939697266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6981048583984,-58.391845703125&amp;z=17&amp;hl=es" TargetMode="External"/><Relationship Id="rId48" Type="http://schemas.openxmlformats.org/officeDocument/2006/relationships/hyperlink" Target="https://www.google.com/maps?q=-34.59233474731445,-58.39065933227539&amp;z=17&amp;hl=es" TargetMode="External"/><Relationship Id="rId56" Type="http://schemas.openxmlformats.org/officeDocument/2006/relationships/hyperlink" Target="https://www.google.com/maps?q=-34.59014892578125,-58.388126373291016&amp;z=17&amp;hl=es" TargetMode="External"/><Relationship Id="rId64" Type="http://schemas.openxmlformats.org/officeDocument/2006/relationships/hyperlink" Target="https://www.google.com/maps?q=-34.594486236572266,-58.381168365478516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1915130615234,-58.39011001586914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5916748046875,-58.37848663330078&amp;z=17&amp;hl=es" TargetMode="External"/><Relationship Id="rId46" Type="http://schemas.openxmlformats.org/officeDocument/2006/relationships/hyperlink" Target="https://maps.app.goo.gl/NnzZjF3J42cx8rry5" TargetMode="External"/><Relationship Id="rId59" Type="http://schemas.openxmlformats.org/officeDocument/2006/relationships/hyperlink" Target="https://www.google.com/maps?q=-34.59111022949219,-58.39280319213867&amp;z=17&amp;hl=es" TargetMode="External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7015380859375,-58.386722564697266&amp;z=17&amp;hl=es" TargetMode="External"/><Relationship Id="rId54" Type="http://schemas.openxmlformats.org/officeDocument/2006/relationships/hyperlink" Target="https://www.google.com/maps?q=-34.591819763183594,-58.38996887207031&amp;z=17&amp;hl=es" TargetMode="External"/><Relationship Id="rId62" Type="http://schemas.openxmlformats.org/officeDocument/2006/relationships/hyperlink" Target="https://www.google.com/maps?q=-34.5941162109375,-58.37980270385742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81921386719,-58.38087463378906&amp;z=17&amp;hl=es" TargetMode="External"/><Relationship Id="rId49" Type="http://schemas.openxmlformats.org/officeDocument/2006/relationships/hyperlink" Target="https://www.google.com/maps?q=-34.59212875366211,-58.39039993286133&amp;z=17&amp;hl=es" TargetMode="External"/><Relationship Id="rId57" Type="http://schemas.openxmlformats.org/officeDocument/2006/relationships/hyperlink" Target="https://www.google.com/maps?q=-34.592044830322266,-58.39152145385742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049713134766,-58.3918571472168&amp;z=17&amp;hl=es" TargetMode="External"/><Relationship Id="rId52" Type="http://schemas.openxmlformats.org/officeDocument/2006/relationships/hyperlink" Target="https://www.google.com/maps?q=-34.59193801879883,-58.3901481628418&amp;z=17&amp;hl=es" TargetMode="External"/><Relationship Id="rId60" Type="http://schemas.openxmlformats.org/officeDocument/2006/relationships/hyperlink" Target="https://www.google.com/maps?q=-34.59097671508789,-58.39504623413086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maps.google.com/maps?q=-34.598628997802734%2C-58.37840270996094&amp;z=17&amp;hl=es" TargetMode="External"/><Relationship Id="rId18" Type="http://schemas.openxmlformats.org/officeDocument/2006/relationships/hyperlink" Target="https://maps.google.com/maps?q=-34.599891662597656%2C-58.37984848022461&amp;z=17&amp;hl=es" TargetMode="External"/><Relationship Id="rId26" Type="http://schemas.openxmlformats.org/officeDocument/2006/relationships/hyperlink" Target="https://maps.google.com/maps?q=-34.58771896362305%2C-58.38430404663086&amp;z=17&amp;hl=es" TargetMode="External"/><Relationship Id="rId39" Type="http://schemas.openxmlformats.org/officeDocument/2006/relationships/hyperlink" Target="https://www.google.com/maps?q=-34.596309661865234,-58.37841796875&amp;z=17&amp;hl=es" TargetMode="External"/><Relationship Id="rId21" Type="http://schemas.openxmlformats.org/officeDocument/2006/relationships/hyperlink" Target="https://maps.google.com/maps?q=-34.5986896%2C-58.3797565&amp;z=17&amp;hl=es" TargetMode="External"/><Relationship Id="rId34" Type="http://schemas.openxmlformats.org/officeDocument/2006/relationships/hyperlink" Target="https://www.google.com/maps?q=-34.59343338012695,-58.39544677734375&amp;z=17&amp;hl=es" TargetMode="External"/><Relationship Id="rId42" Type="http://schemas.openxmlformats.org/officeDocument/2006/relationships/hyperlink" Target="https://www.google.com/maps?q=-34.597110748291016,-58.38776779174805&amp;z=17&amp;hl=es" TargetMode="External"/><Relationship Id="rId47" Type="http://schemas.openxmlformats.org/officeDocument/2006/relationships/hyperlink" Target="https://www.google.com/maps?q=-34.59260940551758,-58.39096450805664&amp;z=17&amp;hl=es" TargetMode="External"/><Relationship Id="rId50" Type="http://schemas.openxmlformats.org/officeDocument/2006/relationships/hyperlink" Target="https://www.google.com/maps?q=-34.59202194213867,-58.39025115966797&amp;z=17&amp;hl=es" TargetMode="External"/><Relationship Id="rId55" Type="http://schemas.openxmlformats.org/officeDocument/2006/relationships/hyperlink" Target="https://www.google.com/maps?q=-34.591373443603516,-58.389549255371094&amp;z=17&amp;hl=es" TargetMode="External"/><Relationship Id="rId63" Type="http://schemas.openxmlformats.org/officeDocument/2006/relationships/hyperlink" Target="https://www.google.com/maps?q=-34.59412384033203,-58.37968444824219&amp;z=17&amp;hl=es" TargetMode="External"/><Relationship Id="rId7" Type="http://schemas.openxmlformats.org/officeDocument/2006/relationships/hyperlink" Target="https://maps.google.com/maps?q=-34.59626770019531%2C-58.37843322753906&amp;z=17&amp;hl=es" TargetMode="External"/><Relationship Id="rId2" Type="http://schemas.openxmlformats.org/officeDocument/2006/relationships/hyperlink" Target="https://maps.google.com/maps?q=-34.59996032714844%2C-58.37679672241211&amp;z=17&amp;hl=es" TargetMode="External"/><Relationship Id="rId16" Type="http://schemas.openxmlformats.org/officeDocument/2006/relationships/hyperlink" Target="https://maps.google.com/maps?q=-34.60324478149414%2C-58.3781623840332&amp;z=17&amp;hl=es" TargetMode="External"/><Relationship Id="rId29" Type="http://schemas.openxmlformats.org/officeDocument/2006/relationships/hyperlink" Target="https://maps.google.com/maps?q=-34.5875244140625%2C-58.38737106323242&amp;z=17&amp;hl=es" TargetMode="External"/><Relationship Id="rId11" Type="http://schemas.openxmlformats.org/officeDocument/2006/relationships/hyperlink" Target="https://maps.google.com/maps?q=-34.59750747680664%2C-58.3781852722168&amp;z=17&amp;hl=es" TargetMode="External"/><Relationship Id="rId24" Type="http://schemas.openxmlformats.org/officeDocument/2006/relationships/hyperlink" Target="https://maps.google.com/maps?q=-34.5971262%2C-58.3798431&amp;z=17&amp;hl=es" TargetMode="External"/><Relationship Id="rId32" Type="http://schemas.openxmlformats.org/officeDocument/2006/relationships/hyperlink" Target="https://www.google.com/maps?q=-34.595272064208984,-58.39004898071289&amp;z=17&amp;hl=es" TargetMode="External"/><Relationship Id="rId37" Type="http://schemas.openxmlformats.org/officeDocument/2006/relationships/hyperlink" Target="https://www.google.com/maps?q=-34.59286880493164,-58.37950897216797&amp;z=17&amp;hl=es" TargetMode="External"/><Relationship Id="rId40" Type="http://schemas.openxmlformats.org/officeDocument/2006/relationships/hyperlink" Target="https://www.google.com/maps?q=-34.5966682434082,-58.380836486816406&amp;z=17&amp;hl=es" TargetMode="External"/><Relationship Id="rId45" Type="http://schemas.openxmlformats.org/officeDocument/2006/relationships/hyperlink" Target="https://www.google.com/maps?q=-34.59523391723633,-58.39204406738281&amp;z=17&amp;hl=es" TargetMode="External"/><Relationship Id="rId53" Type="http://schemas.openxmlformats.org/officeDocument/2006/relationships/hyperlink" Target="https://www.google.com/maps?q=-34.59187698364258,-58.39030838012695&amp;z=17&amp;hl=es" TargetMode="External"/><Relationship Id="rId58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maps.google.com/maps?q=-34.59733581542969%2C-58.37691879272461&amp;z=17&amp;hl=es" TargetMode="External"/><Relationship Id="rId61" Type="http://schemas.openxmlformats.org/officeDocument/2006/relationships/hyperlink" Target="https://maps.google.com/maps?q=-34.598236083984375%2C-58.376956939697266&amp;z=17&amp;hl=es" TargetMode="External"/><Relationship Id="rId19" Type="http://schemas.openxmlformats.org/officeDocument/2006/relationships/hyperlink" Target="https://maps.google.com/maps?q=-34.599876403808594%2C-58.379634857177734&amp;z=17&amp;hl=es" TargetMode="External"/><Relationship Id="rId14" Type="http://schemas.openxmlformats.org/officeDocument/2006/relationships/hyperlink" Target="https://maps.google.com/maps?q=-34.60411071777344%2C-58.3782844543457&amp;z=17&amp;hl=es" TargetMode="External"/><Relationship Id="rId22" Type="http://schemas.openxmlformats.org/officeDocument/2006/relationships/hyperlink" Target="https://maps.google.com/maps?q=-34.598295%2C-58.3797894&amp;z=17&amp;hl=es" TargetMode="External"/><Relationship Id="rId27" Type="http://schemas.openxmlformats.org/officeDocument/2006/relationships/hyperlink" Target="https://maps.google.com/maps?q=-34.586002349853516%2C-58.387351989746094&amp;z=17&amp;hl=es" TargetMode="External"/><Relationship Id="rId30" Type="http://schemas.openxmlformats.org/officeDocument/2006/relationships/hyperlink" Target="https://maps.google.com/maps?q=-34.59185791015625%2C-58.378448486328125&amp;z=17&amp;hl=es" TargetMode="External"/><Relationship Id="rId35" Type="http://schemas.openxmlformats.org/officeDocument/2006/relationships/hyperlink" Target="https://www.google.com/maps?q=-34.594173431396484,-58.390567779541016&amp;z=17&amp;hl=es" TargetMode="External"/><Relationship Id="rId43" Type="http://schemas.openxmlformats.org/officeDocument/2006/relationships/hyperlink" Target="https://www.google.com/maps?q=-34.596981048583984,-58.391845703125&amp;z=17&amp;hl=es" TargetMode="External"/><Relationship Id="rId48" Type="http://schemas.openxmlformats.org/officeDocument/2006/relationships/hyperlink" Target="https://www.google.com/maps?q=-34.59233474731445,-58.39065933227539&amp;z=17&amp;hl=es" TargetMode="External"/><Relationship Id="rId56" Type="http://schemas.openxmlformats.org/officeDocument/2006/relationships/hyperlink" Target="https://www.google.com/maps?q=-34.59014892578125,-58.388126373291016&amp;z=17&amp;hl=es" TargetMode="External"/><Relationship Id="rId64" Type="http://schemas.openxmlformats.org/officeDocument/2006/relationships/hyperlink" Target="https://www.google.com/maps?q=-34.594486236572266,-58.381168365478516&amp;z=17&amp;hl=es" TargetMode="External"/><Relationship Id="rId8" Type="http://schemas.openxmlformats.org/officeDocument/2006/relationships/hyperlink" Target="https://maps.google.com/maps?q=-34.59589767456055%2C-58.37848663330078&amp;z=17&amp;hl=es" TargetMode="External"/><Relationship Id="rId51" Type="http://schemas.openxmlformats.org/officeDocument/2006/relationships/hyperlink" Target="https://www.google.com/maps?q=-34.591915130615234,-58.39011001586914&amp;z=17&amp;hl=es" TargetMode="External"/><Relationship Id="rId3" Type="http://schemas.openxmlformats.org/officeDocument/2006/relationships/hyperlink" Target="https://maps.google.com/maps?q=-34.599769592285156%2C-58.376834869384766&amp;z=17&amp;hl=es" TargetMode="External"/><Relationship Id="rId12" Type="http://schemas.openxmlformats.org/officeDocument/2006/relationships/hyperlink" Target="https://maps.google.com/maps?q=-34.59797668457031%2C-58.378299713134766&amp;z=17&amp;hl=es" TargetMode="External"/><Relationship Id="rId17" Type="http://schemas.openxmlformats.org/officeDocument/2006/relationships/hyperlink" Target="https://maps.google.com/maps?q=-34.601531982421875%2C-58.37953186035156&amp;z=17&amp;hl=es" TargetMode="External"/><Relationship Id="rId25" Type="http://schemas.openxmlformats.org/officeDocument/2006/relationships/hyperlink" Target="https://maps.google.com/maps?q=-34.59231185913086%2C-58.37621307373047&amp;z=17&amp;hl=es" TargetMode="External"/><Relationship Id="rId33" Type="http://schemas.openxmlformats.org/officeDocument/2006/relationships/hyperlink" Target="https://www.google.com/maps?q=-34.595726013183594,-58.39558029174805&amp;z=17&amp;hl=es" TargetMode="External"/><Relationship Id="rId38" Type="http://schemas.openxmlformats.org/officeDocument/2006/relationships/hyperlink" Target="https://www.google.com/maps?q=-34.595916748046875,-58.37848663330078&amp;z=17&amp;hl=es" TargetMode="External"/><Relationship Id="rId46" Type="http://schemas.openxmlformats.org/officeDocument/2006/relationships/hyperlink" Target="https://maps.app.goo.gl/NnzZjF3J42cx8rry5" TargetMode="External"/><Relationship Id="rId59" Type="http://schemas.openxmlformats.org/officeDocument/2006/relationships/hyperlink" Target="https://www.google.com/maps?q=-34.59111022949219,-58.39280319213867&amp;z=17&amp;hl=es" TargetMode="External"/><Relationship Id="rId20" Type="http://schemas.openxmlformats.org/officeDocument/2006/relationships/hyperlink" Target="https://maps.google.com/maps?q=-34.59871292114258%2C-58.37973403930664&amp;z=17&amp;hl=es" TargetMode="External"/><Relationship Id="rId41" Type="http://schemas.openxmlformats.org/officeDocument/2006/relationships/hyperlink" Target="https://www.google.com/maps?q=-34.597015380859375,-58.386722564697266&amp;z=17&amp;hl=es" TargetMode="External"/><Relationship Id="rId54" Type="http://schemas.openxmlformats.org/officeDocument/2006/relationships/hyperlink" Target="https://www.google.com/maps?q=-34.591819763183594,-58.38996887207031&amp;z=17&amp;hl=es" TargetMode="External"/><Relationship Id="rId62" Type="http://schemas.openxmlformats.org/officeDocument/2006/relationships/hyperlink" Target="https://www.google.com/maps?q=-34.5941162109375,-58.37980270385742&amp;z=17&amp;hl=es" TargetMode="External"/><Relationship Id="rId1" Type="http://schemas.openxmlformats.org/officeDocument/2006/relationships/hyperlink" Target="https://maps.google.com/maps?q=-34.59994888305664%2C-58.37699508666992&amp;z=17&amp;hl=es" TargetMode="External"/><Relationship Id="rId6" Type="http://schemas.openxmlformats.org/officeDocument/2006/relationships/hyperlink" Target="https://maps.google.com/maps?q=-34.596309661865234%2C-58.37836837768555&amp;z=17&amp;hl=es" TargetMode="External"/><Relationship Id="rId15" Type="http://schemas.openxmlformats.org/officeDocument/2006/relationships/hyperlink" Target="https://maps.google.com/maps?q=-34.60270690917969%2C-58.37809371948242&amp;z=17&amp;hl=es" TargetMode="External"/><Relationship Id="rId23" Type="http://schemas.openxmlformats.org/officeDocument/2006/relationships/hyperlink" Target="https://maps.google.com/maps?q=-34.5980989%2C-58.3797356&amp;z=17&amp;hl=es" TargetMode="External"/><Relationship Id="rId28" Type="http://schemas.openxmlformats.org/officeDocument/2006/relationships/hyperlink" Target="https://maps.google.com/maps?q=-34.585933685302734%2C-58.387969970703125&amp;z=17&amp;hl=es" TargetMode="External"/><Relationship Id="rId36" Type="http://schemas.openxmlformats.org/officeDocument/2006/relationships/hyperlink" Target="https://www.google.com/maps?q=-34.59281921386719,-58.38087463378906&amp;z=17&amp;hl=es" TargetMode="External"/><Relationship Id="rId49" Type="http://schemas.openxmlformats.org/officeDocument/2006/relationships/hyperlink" Target="https://www.google.com/maps?q=-34.59212875366211,-58.39039993286133&amp;z=17&amp;hl=es" TargetMode="External"/><Relationship Id="rId57" Type="http://schemas.openxmlformats.org/officeDocument/2006/relationships/hyperlink" Target="https://www.google.com/maps?q=-34.592044830322266,-58.39152145385742&amp;z=17&amp;hl=es" TargetMode="External"/><Relationship Id="rId10" Type="http://schemas.openxmlformats.org/officeDocument/2006/relationships/hyperlink" Target="https://maps.google.com/maps?q=-34.59672546386719%2C-58.37849044799805&amp;z=17&amp;hl=es" TargetMode="External"/><Relationship Id="rId31" Type="http://schemas.openxmlformats.org/officeDocument/2006/relationships/hyperlink" Target="https://www.google.com/maps?q=-34.594242095947266,-58.38105392456055&amp;z=17&amp;hl=es" TargetMode="External"/><Relationship Id="rId44" Type="http://schemas.openxmlformats.org/officeDocument/2006/relationships/hyperlink" Target="https://www.google.com/maps?q=-34.597049713134766,-58.3918571472168&amp;z=17&amp;hl=es" TargetMode="External"/><Relationship Id="rId52" Type="http://schemas.openxmlformats.org/officeDocument/2006/relationships/hyperlink" Target="https://www.google.com/maps?q=-34.59193801879883,-58.3901481628418&amp;z=17&amp;hl=es" TargetMode="External"/><Relationship Id="rId60" Type="http://schemas.openxmlformats.org/officeDocument/2006/relationships/hyperlink" Target="https://www.google.com/maps?q=-34.59097671508789,-58.39504623413086&amp;z=17&amp;hl=es" TargetMode="External"/><Relationship Id="rId4" Type="http://schemas.openxmlformats.org/officeDocument/2006/relationships/hyperlink" Target="https://maps.google.com/maps?q=-34.59791946411133%2C-58.37689971923828&amp;z=17&amp;hl=es" TargetMode="External"/><Relationship Id="rId9" Type="http://schemas.openxmlformats.org/officeDocument/2006/relationships/hyperlink" Target="https://maps.google.com/maps?q=-34.5966682434082%2C-58.37837600708008&amp;z=17&amp;hl=es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maps.google.com/maps?q=-34.59185791015625%2C-58.378448486328125&amp;z=17&amp;hl=es" TargetMode="External"/><Relationship Id="rId2" Type="http://schemas.openxmlformats.org/officeDocument/2006/relationships/hyperlink" Target="https://www.google.com/maps?q=-34.59286880493164,-58.37950897216797&amp;z=17&amp;hl=es" TargetMode="External"/><Relationship Id="rId1" Type="http://schemas.openxmlformats.org/officeDocument/2006/relationships/hyperlink" Target="https://www.google.com/maps?q=-34.59281921386719,-58.38087463378906&amp;z=17&amp;hl=es" TargetMode="External"/><Relationship Id="rId6" Type="http://schemas.openxmlformats.org/officeDocument/2006/relationships/hyperlink" Target="https://www.google.com/maps?q=-34.59281921386719,-58.38087463378906&amp;z=17&amp;hl=es" TargetMode="External"/><Relationship Id="rId5" Type="http://schemas.openxmlformats.org/officeDocument/2006/relationships/hyperlink" Target="https://maps.google.com/maps?q=-34.59750747680664%2C-58.3781852722168&amp;z=17&amp;hl=es" TargetMode="External"/><Relationship Id="rId4" Type="http://schemas.openxmlformats.org/officeDocument/2006/relationships/hyperlink" Target="https://www.google.com/maps?q=-34.59412384033203,-58.37968444824219&amp;z=17&amp;hl=es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?q=-34.592796325683594,-58.385894775390625&amp;z=17&amp;hl=es" TargetMode="External"/><Relationship Id="rId3" Type="http://schemas.openxmlformats.org/officeDocument/2006/relationships/hyperlink" Target="https://maps.google.com/maps?q=-34.5875244140625%2C-58.38737106323242&amp;z=17&amp;hl=es" TargetMode="External"/><Relationship Id="rId7" Type="http://schemas.openxmlformats.org/officeDocument/2006/relationships/hyperlink" Target="https://www.google.com/maps?q=-34.59111022949219,-58.39280319213867&amp;z=17&amp;hl=es" TargetMode="External"/><Relationship Id="rId2" Type="http://schemas.openxmlformats.org/officeDocument/2006/relationships/hyperlink" Target="https://maps.google.com/maps?q=-34.58771896362305%2C-58.38430404663086&amp;z=17&amp;hl=es" TargetMode="External"/><Relationship Id="rId1" Type="http://schemas.openxmlformats.org/officeDocument/2006/relationships/hyperlink" Target="https://maps.google.com/maps?q=-34.586002349853516%2C-58.387351989746094&amp;z=17&amp;hl=es" TargetMode="External"/><Relationship Id="rId6" Type="http://schemas.openxmlformats.org/officeDocument/2006/relationships/hyperlink" Target="https://www.google.com/maps?q=-34.59115219116211,-58.39268493652344&amp;z=17&amp;hl=es" TargetMode="External"/><Relationship Id="rId5" Type="http://schemas.openxmlformats.org/officeDocument/2006/relationships/hyperlink" Target="https://www.google.com/maps?q=-34.592044830322266,-58.39152145385742&amp;z=17&amp;hl=es" TargetMode="External"/><Relationship Id="rId4" Type="http://schemas.openxmlformats.org/officeDocument/2006/relationships/hyperlink" Target="https://www.google.com/maps?q=-34.591373443603516,-58.389549255371094&amp;z=17&amp;hl=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AF057-C611-418A-9597-BCAE41466596}">
  <dimension ref="A1:AB177"/>
  <sheetViews>
    <sheetView tabSelected="1" workbookViewId="0">
      <pane ySplit="1" topLeftCell="A113" activePane="bottomLeft" state="frozen"/>
      <selection pane="bottomLeft" activeCell="Q131" sqref="Q131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1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6500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t="s">
        <v>47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t="s">
        <v>47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1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6500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t="s">
        <v>47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1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t="s">
        <v>47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t="s">
        <v>47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t="s">
        <v>37</v>
      </c>
      <c r="K14" s="21">
        <v>1740</v>
      </c>
      <c r="L14" s="21">
        <v>790</v>
      </c>
      <c r="M14" s="21">
        <v>990</v>
      </c>
      <c r="N14" s="21">
        <v>1190</v>
      </c>
      <c r="O14" s="21">
        <v>590</v>
      </c>
      <c r="P14" s="21">
        <v>2410</v>
      </c>
      <c r="Q14" s="21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t="s">
        <v>47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1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t="s">
        <v>47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t="s">
        <v>66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1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t="s">
        <v>47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t="s">
        <v>37</v>
      </c>
      <c r="K22" s="21">
        <v>1390</v>
      </c>
      <c r="L22" s="21">
        <v>790</v>
      </c>
      <c r="M22" s="21">
        <v>990</v>
      </c>
      <c r="N22" s="21">
        <v>1600</v>
      </c>
      <c r="O22" s="21">
        <v>590</v>
      </c>
      <c r="P22" s="21">
        <v>2145</v>
      </c>
      <c r="Q22" s="21">
        <v>12800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t="s">
        <v>47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t="s">
        <v>47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t="s">
        <v>47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t="s">
        <v>47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t="s">
        <v>47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t="s">
        <v>47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t="s">
        <v>58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t="s">
        <v>47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t="s">
        <v>60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t="s">
        <v>47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t="s">
        <v>61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>
        <v>9350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t="s">
        <v>21</v>
      </c>
      <c r="K39" s="21"/>
      <c r="L39" s="21"/>
      <c r="M39" s="21"/>
      <c r="N39" s="21"/>
      <c r="O39" s="21"/>
      <c r="P39" s="21"/>
      <c r="Q39" s="21">
        <v>6500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t="s">
        <v>66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t="s">
        <v>69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t="s">
        <v>47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t="s">
        <v>47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t="s">
        <v>47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t="s">
        <v>21</v>
      </c>
      <c r="K53" s="21"/>
      <c r="L53" s="21"/>
      <c r="M53" s="21"/>
      <c r="N53" s="21"/>
      <c r="O53" s="21"/>
      <c r="P53" s="21"/>
      <c r="Q53" s="21">
        <v>6500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t="s">
        <v>47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t="s">
        <v>47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t="s">
        <v>37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t="s">
        <v>47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t="s">
        <v>60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t="s">
        <v>66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t="s">
        <v>87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t="s">
        <v>87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t="s">
        <v>87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t="s">
        <v>21</v>
      </c>
      <c r="K70" s="21"/>
      <c r="L70" s="21"/>
      <c r="M70" s="21"/>
      <c r="N70" s="21"/>
      <c r="O70" s="21"/>
      <c r="P70" s="21"/>
      <c r="Q70" s="21">
        <v>6500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t="s">
        <v>66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t="s">
        <v>47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t="s">
        <v>47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t="s">
        <v>35</v>
      </c>
      <c r="K78" s="21"/>
      <c r="L78" s="21"/>
      <c r="M78" s="21"/>
      <c r="N78" s="21"/>
      <c r="O78" s="21">
        <v>1107.6923076923078</v>
      </c>
      <c r="P78" s="21"/>
      <c r="Q78" s="21"/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t="s">
        <v>47</v>
      </c>
      <c r="K79" s="21">
        <v>1384.6153846153848</v>
      </c>
      <c r="L79" s="21">
        <v>1107.6923076923078</v>
      </c>
      <c r="M79" s="21">
        <v>1384.6153846153848</v>
      </c>
      <c r="N79" s="21">
        <v>1384.6153846153848</v>
      </c>
      <c r="O79" s="21">
        <v>0</v>
      </c>
      <c r="P79" s="21">
        <v>1661.5384615384617</v>
      </c>
      <c r="Q79" s="21">
        <v>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t="s">
        <v>21</v>
      </c>
      <c r="K80" s="21"/>
      <c r="L80" s="21"/>
      <c r="M80" s="21"/>
      <c r="N80" s="21"/>
      <c r="O80" s="21"/>
      <c r="P80" s="21"/>
      <c r="Q80" s="21">
        <v>6500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t="s">
        <v>66</v>
      </c>
      <c r="K81" s="21">
        <v>0</v>
      </c>
      <c r="L81" s="21">
        <v>0</v>
      </c>
      <c r="M81" s="21">
        <v>0</v>
      </c>
      <c r="N81" s="21">
        <v>0</v>
      </c>
      <c r="O81" s="21">
        <v>0</v>
      </c>
      <c r="P81" s="21">
        <v>2769.2307692307695</v>
      </c>
      <c r="Q81" s="21">
        <v>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0.71875</v>
      </c>
      <c r="C82" s="10" t="s">
        <v>341</v>
      </c>
      <c r="D82" s="8" t="s">
        <v>257</v>
      </c>
      <c r="J82" t="s">
        <v>21</v>
      </c>
      <c r="K82" s="21"/>
      <c r="L82" s="21"/>
      <c r="M82" s="21"/>
      <c r="N82" s="21"/>
      <c r="O82" s="21"/>
      <c r="P82" s="21"/>
      <c r="Q82" s="21">
        <v>6500</v>
      </c>
      <c r="V82" t="s">
        <v>25</v>
      </c>
      <c r="W82" t="s">
        <v>25</v>
      </c>
      <c r="X82">
        <v>2</v>
      </c>
      <c r="Y82" t="s">
        <v>311</v>
      </c>
    </row>
    <row r="83" spans="1:25" x14ac:dyDescent="0.4">
      <c r="A83" s="12">
        <v>46002</v>
      </c>
      <c r="B83" s="17">
        <v>0.72152777777777777</v>
      </c>
      <c r="C83" s="10" t="s">
        <v>342</v>
      </c>
      <c r="D83" s="8" t="s">
        <v>260</v>
      </c>
      <c r="J83" t="s">
        <v>20</v>
      </c>
      <c r="K83" s="21">
        <v>1485</v>
      </c>
      <c r="L83" s="21">
        <v>749</v>
      </c>
      <c r="M83" s="21">
        <v>1050</v>
      </c>
      <c r="N83" s="21">
        <v>1690</v>
      </c>
      <c r="O83" s="21">
        <v>1490</v>
      </c>
      <c r="P83" s="21">
        <v>1790</v>
      </c>
      <c r="Q83" s="21">
        <v>9350</v>
      </c>
      <c r="V83" t="s">
        <v>25</v>
      </c>
      <c r="W83" t="s">
        <v>25</v>
      </c>
      <c r="X83">
        <v>2</v>
      </c>
      <c r="Y83" t="s">
        <v>312</v>
      </c>
    </row>
    <row r="84" spans="1:25" x14ac:dyDescent="0.4">
      <c r="A84" s="12">
        <v>46002</v>
      </c>
      <c r="B84" s="17">
        <v>0.73750000000000004</v>
      </c>
      <c r="C84" s="10" t="s">
        <v>343</v>
      </c>
      <c r="D84" s="8" t="s">
        <v>262</v>
      </c>
      <c r="J84" t="s">
        <v>35</v>
      </c>
      <c r="K84" s="21"/>
      <c r="L84" s="21"/>
      <c r="M84" s="21"/>
      <c r="N84" s="21"/>
      <c r="O84" s="21">
        <v>923.07692307692309</v>
      </c>
      <c r="P84" s="21"/>
      <c r="Q84" s="21"/>
      <c r="V84" t="s">
        <v>26</v>
      </c>
      <c r="W84" t="s">
        <v>25</v>
      </c>
      <c r="X84">
        <v>2</v>
      </c>
      <c r="Y84" t="s">
        <v>313</v>
      </c>
    </row>
    <row r="85" spans="1:25" x14ac:dyDescent="0.4">
      <c r="A85" s="12">
        <v>46002</v>
      </c>
      <c r="B85" s="17">
        <v>0.73819444444444449</v>
      </c>
      <c r="C85" s="10" t="s">
        <v>344</v>
      </c>
      <c r="D85" s="8" t="s">
        <v>264</v>
      </c>
      <c r="J85" t="s">
        <v>47</v>
      </c>
      <c r="K85" s="21">
        <v>1753.846153846154</v>
      </c>
      <c r="L85" s="21">
        <v>1107.6923076923078</v>
      </c>
      <c r="M85" s="21">
        <v>1661.5384615384617</v>
      </c>
      <c r="N85" s="21">
        <v>2769.2307692307695</v>
      </c>
      <c r="O85" s="21">
        <v>0</v>
      </c>
      <c r="P85" s="21">
        <v>0</v>
      </c>
      <c r="Q85" s="21">
        <v>9230.7692307692305</v>
      </c>
      <c r="V85" t="s">
        <v>26</v>
      </c>
      <c r="W85" t="s">
        <v>25</v>
      </c>
      <c r="X85">
        <v>2</v>
      </c>
      <c r="Y85" t="s">
        <v>314</v>
      </c>
    </row>
    <row r="86" spans="1:25" x14ac:dyDescent="0.4">
      <c r="A86" s="12">
        <v>46002</v>
      </c>
      <c r="B86" s="17">
        <v>0.74097222222222225</v>
      </c>
      <c r="C86" s="10" t="s">
        <v>345</v>
      </c>
      <c r="D86" s="8" t="s">
        <v>266</v>
      </c>
      <c r="J86" t="s">
        <v>69</v>
      </c>
      <c r="K86" s="21">
        <v>1290</v>
      </c>
      <c r="L86" s="21">
        <v>890</v>
      </c>
      <c r="M86" s="21">
        <v>899</v>
      </c>
      <c r="N86" s="21">
        <v>1280</v>
      </c>
      <c r="O86" s="21">
        <v>600</v>
      </c>
      <c r="P86" s="21">
        <v>1278</v>
      </c>
      <c r="Q86" s="21">
        <v>13500</v>
      </c>
      <c r="V86" t="s">
        <v>25</v>
      </c>
      <c r="W86" t="s">
        <v>25</v>
      </c>
      <c r="X86">
        <v>2</v>
      </c>
      <c r="Y86" t="s">
        <v>315</v>
      </c>
    </row>
    <row r="87" spans="1:25" x14ac:dyDescent="0.4">
      <c r="A87" s="12">
        <v>46002</v>
      </c>
      <c r="B87" s="17">
        <v>0.76111111111111107</v>
      </c>
      <c r="C87" s="10" t="s">
        <v>347</v>
      </c>
      <c r="D87" s="8" t="s">
        <v>270</v>
      </c>
      <c r="J87" t="s">
        <v>47</v>
      </c>
      <c r="K87" s="21"/>
      <c r="L87" s="21"/>
      <c r="M87" s="21"/>
      <c r="N87" s="21">
        <v>1800</v>
      </c>
      <c r="O87" s="21">
        <v>750</v>
      </c>
      <c r="P87" s="21">
        <v>1500</v>
      </c>
      <c r="Q87" s="21"/>
      <c r="V87" t="s">
        <v>26</v>
      </c>
      <c r="W87" t="s">
        <v>25</v>
      </c>
      <c r="X87">
        <v>2</v>
      </c>
      <c r="Y87" t="s">
        <v>317</v>
      </c>
    </row>
    <row r="88" spans="1:25" x14ac:dyDescent="0.4">
      <c r="A88" s="12">
        <v>46002</v>
      </c>
      <c r="B88" s="17">
        <v>0.7631944444444444</v>
      </c>
      <c r="C88" s="10" t="s">
        <v>348</v>
      </c>
      <c r="D88" s="8" t="s">
        <v>272</v>
      </c>
      <c r="J88" t="s">
        <v>47</v>
      </c>
      <c r="K88" s="21">
        <v>1753.846153846154</v>
      </c>
      <c r="L88" s="21">
        <v>1200</v>
      </c>
      <c r="M88" s="21">
        <v>1384.6153846153848</v>
      </c>
      <c r="N88" s="21">
        <v>2584.6153846153848</v>
      </c>
      <c r="O88" s="21">
        <v>1384.6153846153848</v>
      </c>
      <c r="P88" s="21">
        <v>1384.6153846153848</v>
      </c>
      <c r="Q88" s="21">
        <v>0</v>
      </c>
      <c r="V88" t="s">
        <v>26</v>
      </c>
      <c r="W88" t="s">
        <v>25</v>
      </c>
      <c r="X88">
        <v>2</v>
      </c>
      <c r="Y88" t="s">
        <v>318</v>
      </c>
    </row>
    <row r="89" spans="1:25" x14ac:dyDescent="0.4">
      <c r="A89" s="12">
        <v>46002</v>
      </c>
      <c r="B89" s="17">
        <v>0.77986111111111112</v>
      </c>
      <c r="C89" s="10" t="s">
        <v>350</v>
      </c>
      <c r="D89" s="8" t="s">
        <v>276</v>
      </c>
      <c r="J89" t="s">
        <v>47</v>
      </c>
      <c r="K89" s="21">
        <v>2400</v>
      </c>
      <c r="L89" s="21">
        <v>1300</v>
      </c>
      <c r="M89" s="21">
        <v>1600</v>
      </c>
      <c r="N89" s="21">
        <v>2400</v>
      </c>
      <c r="O89" s="21"/>
      <c r="P89" s="21">
        <v>1700</v>
      </c>
      <c r="Q89" s="21"/>
      <c r="V89" t="s">
        <v>26</v>
      </c>
      <c r="W89" t="s">
        <v>25</v>
      </c>
      <c r="X89">
        <v>2</v>
      </c>
      <c r="Y89" t="s">
        <v>320</v>
      </c>
    </row>
    <row r="90" spans="1:25" x14ac:dyDescent="0.4">
      <c r="A90" s="12">
        <v>46002</v>
      </c>
      <c r="B90" s="17">
        <v>0.79027777777777775</v>
      </c>
      <c r="C90" s="10" t="s">
        <v>353</v>
      </c>
      <c r="D90" s="8" t="s">
        <v>282</v>
      </c>
      <c r="J90" t="s">
        <v>20</v>
      </c>
      <c r="K90" s="21">
        <v>1485</v>
      </c>
      <c r="L90" s="21">
        <v>749</v>
      </c>
      <c r="M90" s="21">
        <v>1050</v>
      </c>
      <c r="N90" s="21">
        <v>1690</v>
      </c>
      <c r="O90" s="21">
        <v>1490</v>
      </c>
      <c r="P90" s="21">
        <v>1790</v>
      </c>
      <c r="Q90" s="21">
        <v>9350</v>
      </c>
      <c r="V90" t="s">
        <v>25</v>
      </c>
      <c r="W90" t="s">
        <v>25</v>
      </c>
      <c r="X90">
        <v>2</v>
      </c>
      <c r="Y90" t="s">
        <v>323</v>
      </c>
    </row>
    <row r="91" spans="1:25" x14ac:dyDescent="0.4">
      <c r="A91" s="12">
        <v>46002</v>
      </c>
      <c r="B91" s="17">
        <v>0.8</v>
      </c>
      <c r="C91" s="10" t="s">
        <v>354</v>
      </c>
      <c r="D91" s="8" t="s">
        <v>284</v>
      </c>
      <c r="J91" t="s">
        <v>47</v>
      </c>
      <c r="K91" s="21"/>
      <c r="L91" s="21">
        <v>1800</v>
      </c>
      <c r="M91" s="21">
        <v>2000</v>
      </c>
      <c r="N91" s="21"/>
      <c r="O91" s="21"/>
      <c r="P91" s="21">
        <v>1300</v>
      </c>
      <c r="Q91" s="21"/>
      <c r="V91" t="s">
        <v>26</v>
      </c>
      <c r="W91" t="s">
        <v>25</v>
      </c>
      <c r="X91">
        <v>2</v>
      </c>
      <c r="Y91" t="s">
        <v>324</v>
      </c>
    </row>
    <row r="92" spans="1:25" x14ac:dyDescent="0.4">
      <c r="A92" s="12">
        <v>46002</v>
      </c>
      <c r="B92" s="17">
        <v>0.80972222222222223</v>
      </c>
      <c r="C92" s="10" t="s">
        <v>356</v>
      </c>
      <c r="D92" s="8" t="s">
        <v>288</v>
      </c>
      <c r="J92" t="s">
        <v>47</v>
      </c>
      <c r="K92" s="21">
        <v>0</v>
      </c>
      <c r="L92" s="21">
        <v>1200</v>
      </c>
      <c r="M92" s="21">
        <v>1384.6153846153848</v>
      </c>
      <c r="N92" s="21">
        <v>0</v>
      </c>
      <c r="O92" s="21">
        <v>0</v>
      </c>
      <c r="P92" s="21">
        <v>0</v>
      </c>
      <c r="Q92" s="21">
        <v>0</v>
      </c>
      <c r="V92" t="s">
        <v>26</v>
      </c>
      <c r="W92" t="s">
        <v>25</v>
      </c>
      <c r="X92">
        <v>2</v>
      </c>
      <c r="Y92" t="s">
        <v>326</v>
      </c>
    </row>
    <row r="93" spans="1:25" x14ac:dyDescent="0.4">
      <c r="A93" s="12">
        <v>46002</v>
      </c>
      <c r="B93" s="17">
        <v>0.81666666666666665</v>
      </c>
      <c r="C93" s="10" t="s">
        <v>357</v>
      </c>
      <c r="D93" s="8" t="s">
        <v>289</v>
      </c>
      <c r="J93" t="s">
        <v>47</v>
      </c>
      <c r="K93" s="21">
        <v>1753.846153846154</v>
      </c>
      <c r="L93" s="21">
        <v>1200</v>
      </c>
      <c r="M93" s="21">
        <v>1107.6923076923078</v>
      </c>
      <c r="N93" s="21">
        <v>1292.3076923076924</v>
      </c>
      <c r="O93" s="21">
        <v>0</v>
      </c>
      <c r="P93" s="21">
        <v>1366.1538461538462</v>
      </c>
      <c r="Q93" s="21">
        <v>0</v>
      </c>
      <c r="V93" t="s">
        <v>26</v>
      </c>
      <c r="W93" t="s">
        <v>25</v>
      </c>
      <c r="X93">
        <v>2</v>
      </c>
      <c r="Y93" t="s">
        <v>326</v>
      </c>
    </row>
    <row r="94" spans="1:25" x14ac:dyDescent="0.4">
      <c r="A94" s="12">
        <v>46002</v>
      </c>
      <c r="B94" s="17">
        <v>0.82222222222222219</v>
      </c>
      <c r="C94" s="10" t="s">
        <v>358</v>
      </c>
      <c r="D94" s="8" t="s">
        <v>291</v>
      </c>
      <c r="J94" t="s">
        <v>21</v>
      </c>
      <c r="K94" s="21"/>
      <c r="L94" s="21"/>
      <c r="M94" s="21"/>
      <c r="N94" s="21"/>
      <c r="O94" s="21"/>
      <c r="P94" s="21"/>
      <c r="Q94" s="21">
        <v>6500</v>
      </c>
      <c r="V94" t="s">
        <v>25</v>
      </c>
      <c r="W94" t="s">
        <v>25</v>
      </c>
      <c r="X94">
        <v>2</v>
      </c>
      <c r="Y94" t="s">
        <v>327</v>
      </c>
    </row>
    <row r="95" spans="1:25" x14ac:dyDescent="0.4">
      <c r="A95" s="12">
        <v>46002</v>
      </c>
      <c r="B95" s="17">
        <v>0.82708333333333328</v>
      </c>
      <c r="C95" s="10" t="s">
        <v>359</v>
      </c>
      <c r="D95" s="8" t="s">
        <v>293</v>
      </c>
      <c r="J95" t="s">
        <v>47</v>
      </c>
      <c r="K95" s="21">
        <v>1476.9230769230769</v>
      </c>
      <c r="L95" s="21">
        <v>1292.3076923076924</v>
      </c>
      <c r="M95" s="21">
        <v>1476.9230769230769</v>
      </c>
      <c r="N95" s="21">
        <v>2123.0769230769233</v>
      </c>
      <c r="O95" s="21">
        <v>923.07692307692309</v>
      </c>
      <c r="P95" s="21">
        <v>1476.9230769230769</v>
      </c>
      <c r="Q95" s="21">
        <v>0</v>
      </c>
      <c r="V95" t="s">
        <v>26</v>
      </c>
      <c r="W95" t="s">
        <v>25</v>
      </c>
      <c r="X95">
        <v>2</v>
      </c>
      <c r="Y95" t="s">
        <v>328</v>
      </c>
    </row>
    <row r="96" spans="1:25" x14ac:dyDescent="0.4">
      <c r="A96" s="12">
        <v>46002</v>
      </c>
      <c r="B96" s="17">
        <v>0.83819444444444446</v>
      </c>
      <c r="C96" s="10" t="s">
        <v>360</v>
      </c>
      <c r="D96" s="8" t="s">
        <v>295</v>
      </c>
      <c r="J96" t="s">
        <v>35</v>
      </c>
      <c r="K96" s="21"/>
      <c r="L96" s="21">
        <v>2769.2307692307695</v>
      </c>
      <c r="M96" s="21"/>
      <c r="N96" s="21"/>
      <c r="O96" s="21">
        <v>1384.6153846153848</v>
      </c>
      <c r="P96" s="21"/>
      <c r="Q96" s="21"/>
      <c r="V96" t="s">
        <v>26</v>
      </c>
      <c r="W96" t="s">
        <v>25</v>
      </c>
      <c r="X96">
        <v>2</v>
      </c>
      <c r="Y96" t="s">
        <v>329</v>
      </c>
    </row>
    <row r="97" spans="1:25" x14ac:dyDescent="0.4">
      <c r="A97" s="12">
        <v>46002</v>
      </c>
      <c r="B97" s="17">
        <v>0.84027777777777779</v>
      </c>
      <c r="C97" s="10" t="s">
        <v>361</v>
      </c>
      <c r="D97" s="8" t="s">
        <v>297</v>
      </c>
      <c r="J97" t="s">
        <v>47</v>
      </c>
      <c r="K97" s="21"/>
      <c r="L97" s="21"/>
      <c r="M97" s="21"/>
      <c r="N97" s="21">
        <v>1800</v>
      </c>
      <c r="O97" s="21">
        <v>1000</v>
      </c>
      <c r="P97" s="21"/>
      <c r="Q97" s="21"/>
      <c r="V97" t="s">
        <v>26</v>
      </c>
      <c r="W97" t="s">
        <v>25</v>
      </c>
      <c r="X97">
        <v>2</v>
      </c>
      <c r="Y97" t="s">
        <v>330</v>
      </c>
    </row>
    <row r="98" spans="1:25" x14ac:dyDescent="0.4">
      <c r="A98" s="12">
        <v>46002</v>
      </c>
      <c r="B98" s="17">
        <v>0.85069444444444442</v>
      </c>
      <c r="C98" s="10" t="s">
        <v>363</v>
      </c>
      <c r="D98" s="8" t="s">
        <v>301</v>
      </c>
      <c r="J98" t="s">
        <v>37</v>
      </c>
      <c r="K98" s="21">
        <v>1430</v>
      </c>
      <c r="L98" s="21">
        <v>540</v>
      </c>
      <c r="M98" s="21">
        <v>990</v>
      </c>
      <c r="N98" s="21">
        <v>1475</v>
      </c>
      <c r="O98" s="21">
        <v>590</v>
      </c>
      <c r="P98" s="21">
        <v>1600</v>
      </c>
      <c r="Q98" s="21">
        <v>12800</v>
      </c>
      <c r="V98" t="s">
        <v>25</v>
      </c>
      <c r="W98" t="s">
        <v>25</v>
      </c>
      <c r="X98">
        <v>2</v>
      </c>
      <c r="Y98" t="s">
        <v>332</v>
      </c>
    </row>
    <row r="99" spans="1:25" x14ac:dyDescent="0.4">
      <c r="A99" s="12">
        <v>46002</v>
      </c>
      <c r="B99" s="17">
        <v>0.85347222222222219</v>
      </c>
      <c r="C99" s="10" t="s">
        <v>364</v>
      </c>
      <c r="D99" s="8" t="s">
        <v>303</v>
      </c>
      <c r="J99" t="s">
        <v>35</v>
      </c>
      <c r="K99" s="21"/>
      <c r="L99" s="21"/>
      <c r="M99" s="21"/>
      <c r="N99" s="21"/>
      <c r="O99" s="21">
        <v>1846.1538461538462</v>
      </c>
      <c r="P99" s="21"/>
      <c r="Q99" s="21"/>
      <c r="V99" t="s">
        <v>26</v>
      </c>
      <c r="W99" t="s">
        <v>25</v>
      </c>
      <c r="X99">
        <v>2</v>
      </c>
      <c r="Y99" t="s">
        <v>333</v>
      </c>
    </row>
    <row r="100" spans="1:25" s="15" customFormat="1" x14ac:dyDescent="0.4">
      <c r="A100" s="14"/>
      <c r="D100" s="16"/>
    </row>
    <row r="101" spans="1:25" x14ac:dyDescent="0.4">
      <c r="A101" s="12">
        <v>45733</v>
      </c>
      <c r="B101" s="17">
        <v>0.59652777777777777</v>
      </c>
      <c r="C101" s="10" t="s">
        <v>426</v>
      </c>
      <c r="D101" s="8" t="s">
        <v>395</v>
      </c>
      <c r="J101" t="s">
        <v>58</v>
      </c>
      <c r="K101" s="21">
        <v>1592.6136363636365</v>
      </c>
      <c r="L101" s="21">
        <v>1061.7424242424242</v>
      </c>
      <c r="M101" s="21">
        <v>1327.1780303030305</v>
      </c>
      <c r="N101" s="21">
        <v>1769.5707070707072</v>
      </c>
      <c r="O101" s="21"/>
      <c r="P101" s="21">
        <v>1504.1351010101012</v>
      </c>
      <c r="Q101" s="21"/>
      <c r="V101" t="s">
        <v>26</v>
      </c>
      <c r="W101" t="s">
        <v>25</v>
      </c>
      <c r="X101">
        <v>3</v>
      </c>
      <c r="Y101" t="s">
        <v>638</v>
      </c>
    </row>
    <row r="102" spans="1:25" x14ac:dyDescent="0.4">
      <c r="A102" s="12">
        <v>45733</v>
      </c>
      <c r="B102" s="17">
        <v>0.60347222222222219</v>
      </c>
      <c r="C102" s="10" t="s">
        <v>429</v>
      </c>
      <c r="D102" s="8" t="s">
        <v>398</v>
      </c>
      <c r="J102" t="s">
        <v>21</v>
      </c>
      <c r="K102" s="21"/>
      <c r="L102" s="21"/>
      <c r="M102" s="21"/>
      <c r="N102" s="21"/>
      <c r="O102" s="21"/>
      <c r="P102" s="21"/>
      <c r="Q102" s="21">
        <v>6500</v>
      </c>
      <c r="V102" t="s">
        <v>25</v>
      </c>
      <c r="W102" t="s">
        <v>25</v>
      </c>
      <c r="X102">
        <v>3</v>
      </c>
      <c r="Y102" t="s">
        <v>640</v>
      </c>
    </row>
    <row r="103" spans="1:25" x14ac:dyDescent="0.4">
      <c r="A103" s="12">
        <v>45733</v>
      </c>
      <c r="B103" s="17">
        <v>0.61458333333333337</v>
      </c>
      <c r="C103" s="10" t="s">
        <v>433</v>
      </c>
      <c r="D103" s="8" t="s">
        <v>402</v>
      </c>
      <c r="J103" t="s">
        <v>87</v>
      </c>
      <c r="K103" s="21"/>
      <c r="L103" s="21"/>
      <c r="M103" s="21"/>
      <c r="N103" s="21"/>
      <c r="O103" s="21"/>
      <c r="P103" s="21"/>
      <c r="Q103" s="21">
        <v>8500</v>
      </c>
      <c r="V103" t="s">
        <v>26</v>
      </c>
      <c r="W103" t="s">
        <v>25</v>
      </c>
      <c r="X103">
        <v>3</v>
      </c>
      <c r="Y103" t="s">
        <v>644</v>
      </c>
    </row>
    <row r="104" spans="1:25" x14ac:dyDescent="0.4">
      <c r="A104" s="12">
        <v>45733</v>
      </c>
      <c r="B104" s="17">
        <v>0.61527777777777781</v>
      </c>
      <c r="C104" s="10" t="s">
        <v>434</v>
      </c>
      <c r="D104" s="8" t="s">
        <v>403</v>
      </c>
      <c r="J104" t="s">
        <v>37</v>
      </c>
      <c r="K104" s="21">
        <v>1430</v>
      </c>
      <c r="L104" s="21">
        <v>540</v>
      </c>
      <c r="M104" s="21">
        <v>990</v>
      </c>
      <c r="N104" s="21">
        <v>1475</v>
      </c>
      <c r="O104" s="21">
        <v>590</v>
      </c>
      <c r="P104" s="21">
        <v>1600</v>
      </c>
      <c r="Q104" s="21">
        <v>12800</v>
      </c>
      <c r="V104" t="s">
        <v>25</v>
      </c>
      <c r="W104" t="s">
        <v>25</v>
      </c>
      <c r="X104">
        <v>3</v>
      </c>
      <c r="Y104" t="s">
        <v>645</v>
      </c>
    </row>
    <row r="105" spans="1:25" x14ac:dyDescent="0.4">
      <c r="A105" s="12">
        <v>45733</v>
      </c>
      <c r="B105" s="17">
        <v>0.62013888888888891</v>
      </c>
      <c r="C105" s="10" t="s">
        <v>435</v>
      </c>
      <c r="D105" s="8" t="s">
        <v>404</v>
      </c>
      <c r="J105" t="s">
        <v>35</v>
      </c>
      <c r="K105" s="21"/>
      <c r="L105" s="21"/>
      <c r="M105" s="21"/>
      <c r="N105" s="21"/>
      <c r="O105" s="21">
        <v>1150.2209595959596</v>
      </c>
      <c r="P105" s="21"/>
      <c r="Q105" s="21"/>
      <c r="V105" t="s">
        <v>26</v>
      </c>
      <c r="W105" t="s">
        <v>25</v>
      </c>
      <c r="X105">
        <v>3</v>
      </c>
      <c r="Y105" t="s">
        <v>646</v>
      </c>
    </row>
    <row r="106" spans="1:25" x14ac:dyDescent="0.4">
      <c r="A106" s="12">
        <v>45733</v>
      </c>
      <c r="B106" s="17">
        <v>0.62083333333333335</v>
      </c>
      <c r="C106" s="10" t="s">
        <v>436</v>
      </c>
      <c r="D106" s="8" t="s">
        <v>405</v>
      </c>
      <c r="J106" t="s">
        <v>21</v>
      </c>
      <c r="K106" s="21"/>
      <c r="L106" s="21"/>
      <c r="M106" s="21"/>
      <c r="N106" s="21"/>
      <c r="O106" s="21"/>
      <c r="P106" s="21"/>
      <c r="Q106" s="21">
        <v>6500</v>
      </c>
      <c r="V106" t="s">
        <v>25</v>
      </c>
      <c r="W106" t="s">
        <v>25</v>
      </c>
      <c r="X106">
        <v>3</v>
      </c>
      <c r="Y106" t="s">
        <v>647</v>
      </c>
    </row>
    <row r="107" spans="1:25" x14ac:dyDescent="0.4">
      <c r="A107" s="12">
        <v>45733</v>
      </c>
      <c r="B107" s="17">
        <v>0.62708333333333333</v>
      </c>
      <c r="C107" s="10" t="s">
        <v>438</v>
      </c>
      <c r="D107" s="8" t="s">
        <v>407</v>
      </c>
      <c r="J107" t="s">
        <v>47</v>
      </c>
      <c r="K107" s="21">
        <v>1681.0921717171718</v>
      </c>
      <c r="L107" s="21">
        <v>973.26388888888891</v>
      </c>
      <c r="M107" s="21">
        <v>0</v>
      </c>
      <c r="N107" s="21">
        <v>0</v>
      </c>
      <c r="O107" s="21">
        <v>0</v>
      </c>
      <c r="P107" s="21">
        <v>1636.8529040404042</v>
      </c>
      <c r="Q107" s="21">
        <v>0</v>
      </c>
      <c r="V107" t="s">
        <v>26</v>
      </c>
      <c r="W107" t="s">
        <v>25</v>
      </c>
      <c r="X107">
        <v>3</v>
      </c>
      <c r="Y107" t="s">
        <v>649</v>
      </c>
    </row>
    <row r="108" spans="1:25" x14ac:dyDescent="0.4">
      <c r="A108" s="12">
        <v>45733</v>
      </c>
      <c r="B108" s="17">
        <v>0.63124999999999998</v>
      </c>
      <c r="C108" s="10" t="s">
        <v>439</v>
      </c>
      <c r="D108" s="8" t="s">
        <v>408</v>
      </c>
      <c r="J108" t="s">
        <v>35</v>
      </c>
      <c r="K108" s="21"/>
      <c r="L108" s="21"/>
      <c r="M108" s="21"/>
      <c r="N108" s="21"/>
      <c r="O108" s="21">
        <v>707.82828282828291</v>
      </c>
      <c r="P108" s="21"/>
      <c r="Q108" s="21"/>
      <c r="V108" t="s">
        <v>26</v>
      </c>
      <c r="W108" t="s">
        <v>25</v>
      </c>
      <c r="X108">
        <v>3</v>
      </c>
      <c r="Y108" t="s">
        <v>650</v>
      </c>
    </row>
    <row r="109" spans="1:25" x14ac:dyDescent="0.4">
      <c r="A109" s="12">
        <v>45733</v>
      </c>
      <c r="B109" s="17">
        <v>0.63263888888888886</v>
      </c>
      <c r="C109" s="10" t="s">
        <v>440</v>
      </c>
      <c r="D109" s="8" t="s">
        <v>409</v>
      </c>
      <c r="J109" t="s">
        <v>20</v>
      </c>
      <c r="K109" s="21">
        <v>1290</v>
      </c>
      <c r="L109" s="21">
        <v>749</v>
      </c>
      <c r="M109" s="21">
        <v>949</v>
      </c>
      <c r="N109" s="21">
        <v>1290</v>
      </c>
      <c r="O109" s="21">
        <v>1590</v>
      </c>
      <c r="P109" s="21">
        <v>1788</v>
      </c>
      <c r="Q109" s="21">
        <v>9350</v>
      </c>
      <c r="V109" t="s">
        <v>25</v>
      </c>
      <c r="W109" t="s">
        <v>25</v>
      </c>
      <c r="X109">
        <v>3</v>
      </c>
      <c r="Y109" t="s">
        <v>652</v>
      </c>
    </row>
    <row r="110" spans="1:25" x14ac:dyDescent="0.4">
      <c r="A110" s="12">
        <v>45733</v>
      </c>
      <c r="B110" s="17">
        <v>0.63611111111111107</v>
      </c>
      <c r="C110" s="10" t="s">
        <v>441</v>
      </c>
      <c r="D110" s="8" t="s">
        <v>410</v>
      </c>
      <c r="J110" t="s">
        <v>47</v>
      </c>
      <c r="K110" s="21">
        <v>1504.1351010101012</v>
      </c>
      <c r="L110" s="21">
        <v>884.78535353535358</v>
      </c>
      <c r="M110" s="21">
        <v>1504.1351010101012</v>
      </c>
      <c r="N110" s="21">
        <v>1327.1780303030305</v>
      </c>
      <c r="O110" s="21">
        <v>1327.1780303030305</v>
      </c>
      <c r="P110" s="21">
        <v>4246.969696969697</v>
      </c>
      <c r="Q110" s="21">
        <v>0</v>
      </c>
      <c r="V110" t="s">
        <v>26</v>
      </c>
      <c r="W110" t="s">
        <v>25</v>
      </c>
      <c r="X110">
        <v>3</v>
      </c>
      <c r="Y110" t="s">
        <v>651</v>
      </c>
    </row>
    <row r="111" spans="1:25" x14ac:dyDescent="0.4">
      <c r="A111" s="12">
        <v>45733</v>
      </c>
      <c r="B111" s="17">
        <v>0.64583333333333337</v>
      </c>
      <c r="C111" s="10" t="s">
        <v>442</v>
      </c>
      <c r="D111" s="8" t="s">
        <v>411</v>
      </c>
      <c r="J111" t="s">
        <v>47</v>
      </c>
      <c r="K111" s="21">
        <v>1592.6136363636365</v>
      </c>
      <c r="L111" s="21">
        <v>1061.7424242424242</v>
      </c>
      <c r="M111" s="21">
        <v>1327.1780303030305</v>
      </c>
      <c r="N111" s="21">
        <v>1769.5707070707072</v>
      </c>
      <c r="O111" s="21">
        <v>1327.1780303030305</v>
      </c>
      <c r="P111" s="21">
        <v>1504.1351010101012</v>
      </c>
      <c r="Q111" s="21">
        <v>0</v>
      </c>
      <c r="V111" t="s">
        <v>26</v>
      </c>
      <c r="W111" t="s">
        <v>25</v>
      </c>
      <c r="X111">
        <v>3</v>
      </c>
      <c r="Y111" t="s">
        <v>653</v>
      </c>
    </row>
    <row r="112" spans="1:25" x14ac:dyDescent="0.4">
      <c r="A112" s="12">
        <v>45733</v>
      </c>
      <c r="B112" s="17">
        <v>0.65902777777777777</v>
      </c>
      <c r="C112" s="10" t="s">
        <v>443</v>
      </c>
      <c r="D112" s="8" t="s">
        <v>412</v>
      </c>
      <c r="J112" t="s">
        <v>20</v>
      </c>
      <c r="K112" s="21">
        <v>1290</v>
      </c>
      <c r="L112" s="21">
        <v>749</v>
      </c>
      <c r="M112" s="21">
        <v>949</v>
      </c>
      <c r="N112" s="21">
        <v>1290</v>
      </c>
      <c r="O112" s="21">
        <v>1590</v>
      </c>
      <c r="P112" s="21">
        <v>1788</v>
      </c>
      <c r="Q112" s="21">
        <v>13500</v>
      </c>
      <c r="V112" t="s">
        <v>25</v>
      </c>
      <c r="W112" t="s">
        <v>25</v>
      </c>
      <c r="X112">
        <v>3</v>
      </c>
      <c r="Y112" t="s">
        <v>654</v>
      </c>
    </row>
    <row r="113" spans="1:25" x14ac:dyDescent="0.4">
      <c r="A113" s="12">
        <v>45733</v>
      </c>
      <c r="B113" s="17">
        <v>0.68958333333333333</v>
      </c>
      <c r="C113" s="10" t="s">
        <v>447</v>
      </c>
      <c r="D113" s="8" t="s">
        <v>416</v>
      </c>
      <c r="J113" t="s">
        <v>47</v>
      </c>
      <c r="K113" s="21">
        <v>2035.0063131313132</v>
      </c>
      <c r="L113" s="21">
        <v>1238.6994949494949</v>
      </c>
      <c r="M113" s="21">
        <v>1681.0921717171718</v>
      </c>
      <c r="N113" s="21">
        <v>2477.3989898989898</v>
      </c>
      <c r="O113" s="21">
        <v>0</v>
      </c>
      <c r="P113" s="21">
        <v>1946.5277777777778</v>
      </c>
      <c r="Q113" s="21">
        <v>0</v>
      </c>
      <c r="V113" t="s">
        <v>26</v>
      </c>
      <c r="W113" t="s">
        <v>25</v>
      </c>
      <c r="X113">
        <v>3</v>
      </c>
      <c r="Y113" t="s">
        <v>658</v>
      </c>
    </row>
    <row r="114" spans="1:25" x14ac:dyDescent="0.4">
      <c r="A114" s="12">
        <v>45733</v>
      </c>
      <c r="B114" s="17">
        <v>0.70833333333333337</v>
      </c>
      <c r="C114" s="10" t="s">
        <v>448</v>
      </c>
      <c r="D114" s="8" t="s">
        <v>417</v>
      </c>
      <c r="J114" t="s">
        <v>87</v>
      </c>
      <c r="K114" s="21"/>
      <c r="L114" s="21"/>
      <c r="M114" s="21"/>
      <c r="N114" s="21"/>
      <c r="O114" s="21"/>
      <c r="P114" s="21"/>
      <c r="Q114" s="21">
        <v>17000</v>
      </c>
      <c r="V114" t="s">
        <v>26</v>
      </c>
      <c r="W114" t="s">
        <v>25</v>
      </c>
      <c r="X114">
        <v>3</v>
      </c>
      <c r="Y114" t="s">
        <v>657</v>
      </c>
    </row>
    <row r="115" spans="1:25" x14ac:dyDescent="0.4">
      <c r="A115" s="12">
        <v>45733</v>
      </c>
      <c r="B115" s="17">
        <v>0.71805555555555556</v>
      </c>
      <c r="C115" s="10" t="s">
        <v>449</v>
      </c>
      <c r="D115" s="8" t="s">
        <v>418</v>
      </c>
      <c r="J115" t="s">
        <v>21</v>
      </c>
      <c r="K115" s="21"/>
      <c r="L115" s="21"/>
      <c r="M115" s="21"/>
      <c r="N115" s="21"/>
      <c r="O115" s="21"/>
      <c r="P115" s="21"/>
      <c r="Q115" s="21">
        <v>6500</v>
      </c>
      <c r="V115" t="s">
        <v>25</v>
      </c>
      <c r="W115" t="s">
        <v>25</v>
      </c>
      <c r="X115">
        <v>3</v>
      </c>
      <c r="Y115" t="s">
        <v>659</v>
      </c>
    </row>
    <row r="116" spans="1:25" x14ac:dyDescent="0.4">
      <c r="A116" s="12">
        <v>45733</v>
      </c>
      <c r="B116" s="17">
        <v>0.7319444444444444</v>
      </c>
      <c r="C116" s="10" t="s">
        <v>450</v>
      </c>
      <c r="D116" s="8" t="s">
        <v>419</v>
      </c>
      <c r="J116" t="s">
        <v>35</v>
      </c>
      <c r="K116" s="21"/>
      <c r="L116" s="21"/>
      <c r="M116" s="21"/>
      <c r="N116" s="21"/>
      <c r="O116" s="21">
        <v>884.78535353535358</v>
      </c>
      <c r="P116" s="21"/>
      <c r="Q116" s="21"/>
      <c r="V116" t="s">
        <v>26</v>
      </c>
      <c r="W116" t="s">
        <v>25</v>
      </c>
      <c r="X116">
        <v>3</v>
      </c>
      <c r="Y116" t="s">
        <v>660</v>
      </c>
    </row>
    <row r="117" spans="1:25" x14ac:dyDescent="0.4">
      <c r="A117" s="12">
        <v>45733</v>
      </c>
      <c r="B117" s="17">
        <v>0.73402777777777772</v>
      </c>
      <c r="C117" s="10" t="s">
        <v>451</v>
      </c>
      <c r="D117" s="8" t="s">
        <v>420</v>
      </c>
      <c r="J117" t="s">
        <v>21</v>
      </c>
      <c r="K117" s="21"/>
      <c r="L117" s="21"/>
      <c r="M117" s="21"/>
      <c r="N117" s="21"/>
      <c r="O117" s="21"/>
      <c r="P117" s="21"/>
      <c r="Q117" s="21">
        <v>6500</v>
      </c>
      <c r="V117" t="s">
        <v>25</v>
      </c>
      <c r="W117" t="s">
        <v>25</v>
      </c>
      <c r="X117">
        <v>3</v>
      </c>
      <c r="Y117" t="s">
        <v>661</v>
      </c>
    </row>
    <row r="118" spans="1:25" x14ac:dyDescent="0.4">
      <c r="A118" s="12">
        <v>45733</v>
      </c>
      <c r="B118" s="17">
        <v>0.74236111111111114</v>
      </c>
      <c r="C118" s="10" t="s">
        <v>452</v>
      </c>
      <c r="D118" s="8" t="s">
        <v>421</v>
      </c>
      <c r="J118" t="s">
        <v>20</v>
      </c>
      <c r="K118" s="21">
        <v>1290</v>
      </c>
      <c r="L118" s="21">
        <v>749</v>
      </c>
      <c r="M118" s="21">
        <v>949</v>
      </c>
      <c r="N118" s="21">
        <v>1290</v>
      </c>
      <c r="O118" s="21">
        <v>1590</v>
      </c>
      <c r="P118" s="21">
        <v>1788</v>
      </c>
      <c r="Q118" s="21">
        <v>13500</v>
      </c>
      <c r="V118" t="s">
        <v>25</v>
      </c>
      <c r="W118" t="s">
        <v>25</v>
      </c>
      <c r="X118">
        <v>3</v>
      </c>
      <c r="Y118" t="s">
        <v>662</v>
      </c>
    </row>
    <row r="119" spans="1:25" x14ac:dyDescent="0.4">
      <c r="A119" s="12">
        <v>45733</v>
      </c>
      <c r="B119" s="17">
        <v>0.74305555555555558</v>
      </c>
      <c r="C119" s="10" t="s">
        <v>453</v>
      </c>
      <c r="D119" s="8" t="s">
        <v>422</v>
      </c>
      <c r="J119" t="s">
        <v>87</v>
      </c>
      <c r="K119" s="21"/>
      <c r="L119" s="21"/>
      <c r="M119" s="21"/>
      <c r="N119" s="21"/>
      <c r="O119" s="21"/>
      <c r="P119" s="21"/>
      <c r="Q119" s="21">
        <v>21000</v>
      </c>
      <c r="V119" t="s">
        <v>26</v>
      </c>
      <c r="W119" t="s">
        <v>25</v>
      </c>
      <c r="X119">
        <v>3</v>
      </c>
      <c r="Y119" t="s">
        <v>663</v>
      </c>
    </row>
    <row r="120" spans="1:25" x14ac:dyDescent="0.4">
      <c r="A120" s="12">
        <v>45733</v>
      </c>
      <c r="B120" s="17">
        <v>0.74375000000000002</v>
      </c>
      <c r="C120" s="10" t="s">
        <v>454</v>
      </c>
      <c r="D120" s="8" t="s">
        <v>423</v>
      </c>
      <c r="J120" t="s">
        <v>35</v>
      </c>
      <c r="K120" s="21"/>
      <c r="L120" s="21"/>
      <c r="M120" s="21"/>
      <c r="N120" s="21"/>
      <c r="O120" s="21">
        <v>1327.1780303030305</v>
      </c>
      <c r="P120" s="21"/>
      <c r="Q120" s="21"/>
      <c r="V120" t="s">
        <v>26</v>
      </c>
      <c r="W120" t="s">
        <v>25</v>
      </c>
      <c r="X120">
        <v>3</v>
      </c>
      <c r="Y120" t="s">
        <v>664</v>
      </c>
    </row>
    <row r="121" spans="1:25" s="15" customFormat="1" x14ac:dyDescent="0.4">
      <c r="A121" s="14"/>
      <c r="D121" s="16"/>
    </row>
    <row r="122" spans="1:25" x14ac:dyDescent="0.4">
      <c r="A122" s="12">
        <v>45734</v>
      </c>
      <c r="B122" t="s">
        <v>488</v>
      </c>
      <c r="C122" s="10" t="s">
        <v>706</v>
      </c>
      <c r="D122" s="8" t="s">
        <v>489</v>
      </c>
      <c r="J122" t="s">
        <v>20</v>
      </c>
      <c r="K122" s="21">
        <v>1290</v>
      </c>
      <c r="L122" s="21">
        <v>749</v>
      </c>
      <c r="M122" s="21">
        <v>949</v>
      </c>
      <c r="N122" s="21">
        <v>1290</v>
      </c>
      <c r="O122" s="21">
        <v>1590</v>
      </c>
      <c r="P122" s="21">
        <v>1788</v>
      </c>
      <c r="Q122" s="21">
        <v>9350</v>
      </c>
      <c r="V122" t="s">
        <v>25</v>
      </c>
      <c r="W122" t="s">
        <v>25</v>
      </c>
      <c r="X122">
        <v>4</v>
      </c>
      <c r="Y122" t="s">
        <v>666</v>
      </c>
    </row>
    <row r="123" spans="1:25" x14ac:dyDescent="0.4">
      <c r="A123" s="12">
        <v>45734</v>
      </c>
      <c r="B123" t="s">
        <v>488</v>
      </c>
      <c r="C123" s="10" t="s">
        <v>707</v>
      </c>
      <c r="D123" s="8" t="s">
        <v>490</v>
      </c>
      <c r="J123" t="s">
        <v>47</v>
      </c>
      <c r="K123" s="21"/>
      <c r="L123" s="21"/>
      <c r="M123" s="21"/>
      <c r="N123" s="21">
        <v>1800</v>
      </c>
      <c r="O123" s="21">
        <v>750</v>
      </c>
      <c r="P123" s="21">
        <v>1500</v>
      </c>
      <c r="Q123" s="21"/>
      <c r="V123" t="s">
        <v>26</v>
      </c>
      <c r="W123" t="s">
        <v>25</v>
      </c>
      <c r="X123">
        <v>4</v>
      </c>
      <c r="Y123" t="s">
        <v>806</v>
      </c>
    </row>
    <row r="124" spans="1:25" x14ac:dyDescent="0.4">
      <c r="A124" s="12">
        <v>45734</v>
      </c>
      <c r="B124" t="s">
        <v>488</v>
      </c>
      <c r="C124" s="10" t="s">
        <v>708</v>
      </c>
      <c r="D124" s="8" t="s">
        <v>494</v>
      </c>
      <c r="J124" t="s">
        <v>47</v>
      </c>
      <c r="K124" s="21">
        <v>1300</v>
      </c>
      <c r="L124" s="21">
        <v>800</v>
      </c>
      <c r="M124" s="21">
        <v>900</v>
      </c>
      <c r="N124" s="21">
        <v>1400</v>
      </c>
      <c r="O124" s="21"/>
      <c r="P124" s="21">
        <v>1200</v>
      </c>
      <c r="Q124" s="21"/>
      <c r="V124" t="s">
        <v>26</v>
      </c>
      <c r="W124" t="s">
        <v>25</v>
      </c>
      <c r="X124">
        <v>4</v>
      </c>
      <c r="Y124" t="s">
        <v>667</v>
      </c>
    </row>
    <row r="125" spans="1:25" x14ac:dyDescent="0.4">
      <c r="A125" s="12">
        <v>45734</v>
      </c>
      <c r="B125" t="s">
        <v>488</v>
      </c>
      <c r="C125" s="10" t="s">
        <v>710</v>
      </c>
      <c r="D125" s="8" t="s">
        <v>497</v>
      </c>
      <c r="J125" t="s">
        <v>20</v>
      </c>
      <c r="K125" s="21">
        <v>1485</v>
      </c>
      <c r="L125" s="21">
        <v>749</v>
      </c>
      <c r="M125" s="21">
        <v>1050</v>
      </c>
      <c r="N125" s="21">
        <v>1690</v>
      </c>
      <c r="O125" s="21">
        <v>1490</v>
      </c>
      <c r="P125" s="21">
        <v>1790</v>
      </c>
      <c r="Q125" s="21">
        <v>9350</v>
      </c>
      <c r="V125" t="s">
        <v>25</v>
      </c>
      <c r="W125" t="s">
        <v>25</v>
      </c>
      <c r="X125">
        <v>4</v>
      </c>
      <c r="Y125" t="s">
        <v>669</v>
      </c>
    </row>
    <row r="126" spans="1:25" x14ac:dyDescent="0.4">
      <c r="A126" s="12">
        <v>45734</v>
      </c>
      <c r="B126" t="s">
        <v>488</v>
      </c>
      <c r="C126" s="10" t="s">
        <v>711</v>
      </c>
      <c r="D126" s="8" t="s">
        <v>500</v>
      </c>
      <c r="J126" t="s">
        <v>35</v>
      </c>
      <c r="O126" s="21">
        <v>1000</v>
      </c>
      <c r="X126">
        <v>4</v>
      </c>
      <c r="Y126" t="s">
        <v>670</v>
      </c>
    </row>
    <row r="127" spans="1:25" x14ac:dyDescent="0.4">
      <c r="A127" s="12">
        <v>45734</v>
      </c>
      <c r="B127" t="s">
        <v>488</v>
      </c>
      <c r="C127" s="10" t="s">
        <v>712</v>
      </c>
      <c r="D127" s="8" t="s">
        <v>501</v>
      </c>
      <c r="J127" t="s">
        <v>502</v>
      </c>
      <c r="K127" s="21">
        <v>1430</v>
      </c>
      <c r="L127" s="21">
        <v>540</v>
      </c>
      <c r="M127" s="21">
        <v>990</v>
      </c>
      <c r="N127" s="21">
        <v>1475</v>
      </c>
      <c r="O127" s="21">
        <v>590</v>
      </c>
      <c r="P127" s="21">
        <v>1600</v>
      </c>
      <c r="Q127" s="21">
        <v>12800</v>
      </c>
      <c r="V127" t="s">
        <v>25</v>
      </c>
      <c r="W127" t="s">
        <v>25</v>
      </c>
      <c r="X127">
        <v>4</v>
      </c>
      <c r="Y127" t="s">
        <v>805</v>
      </c>
    </row>
    <row r="128" spans="1:25" x14ac:dyDescent="0.4">
      <c r="A128" s="12">
        <v>45734</v>
      </c>
      <c r="B128" t="s">
        <v>488</v>
      </c>
      <c r="C128" s="10" t="s">
        <v>713</v>
      </c>
      <c r="D128" s="8" t="s">
        <v>503</v>
      </c>
      <c r="J128" t="s">
        <v>47</v>
      </c>
      <c r="K128" s="21">
        <v>1800</v>
      </c>
      <c r="L128" s="21">
        <v>1500</v>
      </c>
      <c r="M128" s="21">
        <v>1300</v>
      </c>
      <c r="N128" s="21">
        <v>1000</v>
      </c>
      <c r="O128" s="21"/>
      <c r="P128" s="21">
        <v>1000</v>
      </c>
      <c r="Q128" s="21"/>
      <c r="V128" t="s">
        <v>26</v>
      </c>
      <c r="W128" t="s">
        <v>25</v>
      </c>
      <c r="X128">
        <v>4</v>
      </c>
      <c r="Y128" t="s">
        <v>671</v>
      </c>
    </row>
    <row r="129" spans="1:25" x14ac:dyDescent="0.4">
      <c r="A129" s="12">
        <v>45734</v>
      </c>
      <c r="B129" t="s">
        <v>488</v>
      </c>
      <c r="C129" s="10" t="s">
        <v>714</v>
      </c>
      <c r="D129" s="8" t="s">
        <v>506</v>
      </c>
      <c r="J129" t="s">
        <v>47</v>
      </c>
      <c r="K129" s="21">
        <v>1700</v>
      </c>
      <c r="L129" s="21">
        <v>900</v>
      </c>
      <c r="M129" s="21">
        <v>1300</v>
      </c>
      <c r="N129" s="21">
        <v>1200</v>
      </c>
      <c r="O129" s="21">
        <v>1000</v>
      </c>
      <c r="P129" s="21">
        <v>1600</v>
      </c>
      <c r="Q129" s="21">
        <v>8600</v>
      </c>
      <c r="V129" t="s">
        <v>26</v>
      </c>
      <c r="W129" t="s">
        <v>25</v>
      </c>
      <c r="X129">
        <v>4</v>
      </c>
      <c r="Y129" t="s">
        <v>804</v>
      </c>
    </row>
    <row r="130" spans="1:25" x14ac:dyDescent="0.4">
      <c r="A130" s="12">
        <v>45734</v>
      </c>
      <c r="B130" t="s">
        <v>488</v>
      </c>
      <c r="C130" s="10" t="s">
        <v>715</v>
      </c>
      <c r="D130" s="8" t="s">
        <v>508</v>
      </c>
      <c r="J130" t="s">
        <v>47</v>
      </c>
      <c r="K130" s="21"/>
      <c r="L130" s="21">
        <v>1500</v>
      </c>
      <c r="M130" s="21">
        <v>1700</v>
      </c>
      <c r="N130" s="21">
        <v>2000</v>
      </c>
      <c r="O130" s="21">
        <v>1200</v>
      </c>
      <c r="P130" s="21">
        <v>1500</v>
      </c>
      <c r="Q130" s="21">
        <v>9000</v>
      </c>
      <c r="V130" t="s">
        <v>26</v>
      </c>
      <c r="W130" t="s">
        <v>25</v>
      </c>
      <c r="X130">
        <v>4</v>
      </c>
      <c r="Y130" t="s">
        <v>672</v>
      </c>
    </row>
    <row r="131" spans="1:25" x14ac:dyDescent="0.4">
      <c r="A131" s="12">
        <v>45734</v>
      </c>
      <c r="B131" t="s">
        <v>488</v>
      </c>
      <c r="C131" s="10" t="s">
        <v>716</v>
      </c>
      <c r="D131" s="8" t="s">
        <v>510</v>
      </c>
      <c r="J131" t="s">
        <v>20</v>
      </c>
      <c r="K131" s="21">
        <v>1290</v>
      </c>
      <c r="L131" s="21">
        <v>749</v>
      </c>
      <c r="M131" s="21">
        <v>949</v>
      </c>
      <c r="N131" s="21">
        <v>1290</v>
      </c>
      <c r="O131" s="21">
        <v>1590</v>
      </c>
      <c r="P131" s="21">
        <v>1788</v>
      </c>
      <c r="Q131" s="21">
        <v>13500</v>
      </c>
      <c r="V131" t="s">
        <v>25</v>
      </c>
      <c r="W131" t="s">
        <v>25</v>
      </c>
      <c r="X131">
        <v>4</v>
      </c>
      <c r="Y131" t="s">
        <v>673</v>
      </c>
    </row>
    <row r="132" spans="1:25" x14ac:dyDescent="0.4">
      <c r="A132" s="12">
        <v>45734</v>
      </c>
      <c r="B132" t="s">
        <v>488</v>
      </c>
      <c r="C132" s="10" t="s">
        <v>717</v>
      </c>
      <c r="D132" s="8" t="s">
        <v>512</v>
      </c>
      <c r="J132" t="s">
        <v>47</v>
      </c>
      <c r="K132" s="21">
        <v>1600</v>
      </c>
      <c r="L132" s="21">
        <v>1000</v>
      </c>
      <c r="M132" s="21">
        <v>1500</v>
      </c>
      <c r="N132" s="21">
        <v>1800</v>
      </c>
      <c r="O132" s="21">
        <v>1000</v>
      </c>
      <c r="P132" s="21">
        <v>2300</v>
      </c>
      <c r="Q132" s="21"/>
      <c r="V132" t="s">
        <v>26</v>
      </c>
      <c r="W132" t="s">
        <v>25</v>
      </c>
      <c r="X132">
        <v>4</v>
      </c>
      <c r="Y132" t="s">
        <v>803</v>
      </c>
    </row>
    <row r="133" spans="1:25" x14ac:dyDescent="0.4">
      <c r="A133" s="12">
        <v>45734</v>
      </c>
      <c r="B133" t="s">
        <v>488</v>
      </c>
      <c r="C133" s="10" t="s">
        <v>718</v>
      </c>
      <c r="D133" s="8" t="s">
        <v>514</v>
      </c>
      <c r="J133" t="s">
        <v>20</v>
      </c>
      <c r="K133" s="21">
        <v>1485</v>
      </c>
      <c r="L133" s="21">
        <v>749</v>
      </c>
      <c r="M133" s="21">
        <v>1050</v>
      </c>
      <c r="N133" s="21">
        <v>1690</v>
      </c>
      <c r="O133" s="21">
        <v>1490</v>
      </c>
      <c r="P133" s="21">
        <v>1790</v>
      </c>
      <c r="Q133" s="21">
        <v>9350</v>
      </c>
      <c r="V133" t="s">
        <v>25</v>
      </c>
      <c r="W133" t="s">
        <v>25</v>
      </c>
      <c r="X133">
        <v>4</v>
      </c>
      <c r="Y133" t="s">
        <v>802</v>
      </c>
    </row>
    <row r="134" spans="1:25" x14ac:dyDescent="0.4">
      <c r="A134" s="12">
        <v>45734</v>
      </c>
      <c r="B134" t="s">
        <v>488</v>
      </c>
      <c r="C134" s="10" t="s">
        <v>719</v>
      </c>
      <c r="D134" s="8" t="s">
        <v>516</v>
      </c>
      <c r="J134" t="s">
        <v>20</v>
      </c>
      <c r="K134" s="21">
        <v>1290</v>
      </c>
      <c r="L134" s="21">
        <v>749</v>
      </c>
      <c r="M134" s="21">
        <v>949</v>
      </c>
      <c r="N134" s="21">
        <v>1290</v>
      </c>
      <c r="O134" s="21">
        <v>1590</v>
      </c>
      <c r="P134" s="21">
        <v>1788</v>
      </c>
      <c r="Q134" s="21">
        <v>9350</v>
      </c>
      <c r="V134" t="s">
        <v>25</v>
      </c>
      <c r="W134" t="s">
        <v>25</v>
      </c>
      <c r="X134">
        <v>4</v>
      </c>
      <c r="Y134" t="s">
        <v>801</v>
      </c>
    </row>
    <row r="135" spans="1:25" x14ac:dyDescent="0.4">
      <c r="A135" s="12">
        <v>45734</v>
      </c>
      <c r="B135" t="s">
        <v>488</v>
      </c>
      <c r="C135" s="10" t="s">
        <v>720</v>
      </c>
      <c r="D135" s="8" t="s">
        <v>518</v>
      </c>
      <c r="J135" t="s">
        <v>47</v>
      </c>
      <c r="K135" s="21">
        <v>2400</v>
      </c>
      <c r="L135" s="21">
        <v>1300</v>
      </c>
      <c r="M135" s="21">
        <v>1600</v>
      </c>
      <c r="N135" s="21">
        <v>2400</v>
      </c>
      <c r="O135" s="21"/>
      <c r="P135" s="21">
        <v>1700</v>
      </c>
      <c r="Q135" s="21"/>
      <c r="V135" t="s">
        <v>26</v>
      </c>
      <c r="W135" t="s">
        <v>25</v>
      </c>
      <c r="X135">
        <v>4</v>
      </c>
      <c r="Y135" t="s">
        <v>674</v>
      </c>
    </row>
    <row r="136" spans="1:25" x14ac:dyDescent="0.4">
      <c r="A136" s="12">
        <v>45734</v>
      </c>
      <c r="B136" t="s">
        <v>488</v>
      </c>
      <c r="C136" s="10" t="s">
        <v>723</v>
      </c>
      <c r="D136" s="8" t="s">
        <v>524</v>
      </c>
      <c r="J136" t="s">
        <v>58</v>
      </c>
      <c r="K136" s="21">
        <v>2100</v>
      </c>
      <c r="L136" s="21">
        <v>1200</v>
      </c>
      <c r="M136" s="21">
        <v>2000</v>
      </c>
      <c r="N136" s="21">
        <v>5200</v>
      </c>
      <c r="O136" s="21"/>
      <c r="P136" s="21">
        <v>1504.1351010101012</v>
      </c>
      <c r="V136" t="s">
        <v>26</v>
      </c>
      <c r="W136" t="s">
        <v>25</v>
      </c>
      <c r="X136">
        <v>4</v>
      </c>
      <c r="Y136" t="s">
        <v>677</v>
      </c>
    </row>
    <row r="137" spans="1:25" x14ac:dyDescent="0.4">
      <c r="A137" s="12">
        <v>45734</v>
      </c>
      <c r="B137" t="s">
        <v>488</v>
      </c>
      <c r="C137" s="10" t="s">
        <v>725</v>
      </c>
      <c r="D137" s="8" t="s">
        <v>528</v>
      </c>
      <c r="J137" t="s">
        <v>20</v>
      </c>
      <c r="K137" s="21">
        <v>1485</v>
      </c>
      <c r="L137" s="21">
        <v>749</v>
      </c>
      <c r="M137" s="21">
        <v>1050</v>
      </c>
      <c r="N137" s="21">
        <v>1690</v>
      </c>
      <c r="O137" s="21">
        <v>1490</v>
      </c>
      <c r="P137" s="21">
        <v>1790</v>
      </c>
      <c r="Q137" s="21">
        <v>9350</v>
      </c>
      <c r="V137" t="s">
        <v>25</v>
      </c>
      <c r="W137" t="s">
        <v>25</v>
      </c>
      <c r="X137">
        <v>4</v>
      </c>
      <c r="Y137" t="s">
        <v>678</v>
      </c>
    </row>
    <row r="138" spans="1:25" x14ac:dyDescent="0.4">
      <c r="A138" s="12">
        <v>45734</v>
      </c>
      <c r="B138" t="s">
        <v>488</v>
      </c>
      <c r="C138" s="10" t="s">
        <v>729</v>
      </c>
      <c r="D138" s="8" t="s">
        <v>536</v>
      </c>
      <c r="J138" t="s">
        <v>37</v>
      </c>
      <c r="K138" s="21">
        <v>1390</v>
      </c>
      <c r="L138" s="21">
        <v>790</v>
      </c>
      <c r="M138" s="21">
        <v>990</v>
      </c>
      <c r="N138" s="21">
        <v>1600</v>
      </c>
      <c r="O138" s="21">
        <v>590</v>
      </c>
      <c r="P138" s="21">
        <v>2145</v>
      </c>
      <c r="Q138" s="21">
        <v>12800</v>
      </c>
      <c r="V138" t="s">
        <v>25</v>
      </c>
      <c r="W138" t="s">
        <v>25</v>
      </c>
      <c r="X138">
        <v>4</v>
      </c>
      <c r="Y138" t="s">
        <v>682</v>
      </c>
    </row>
    <row r="139" spans="1:25" x14ac:dyDescent="0.4">
      <c r="A139" s="12">
        <v>45734</v>
      </c>
      <c r="B139" t="s">
        <v>488</v>
      </c>
      <c r="C139" s="10" t="s">
        <v>730</v>
      </c>
      <c r="D139" s="8" t="s">
        <v>538</v>
      </c>
      <c r="J139" t="s">
        <v>47</v>
      </c>
      <c r="K139" s="21">
        <v>1400</v>
      </c>
      <c r="L139" s="21">
        <v>2000</v>
      </c>
      <c r="M139" s="21">
        <v>2000</v>
      </c>
      <c r="N139" s="21">
        <v>4000</v>
      </c>
      <c r="O139" s="21"/>
      <c r="P139" s="21">
        <v>2136</v>
      </c>
      <c r="Q139" s="21"/>
      <c r="V139" t="s">
        <v>26</v>
      </c>
      <c r="W139" t="s">
        <v>25</v>
      </c>
      <c r="X139">
        <v>4</v>
      </c>
      <c r="Y139" t="s">
        <v>683</v>
      </c>
    </row>
    <row r="140" spans="1:25" x14ac:dyDescent="0.4">
      <c r="A140" s="12">
        <v>45734</v>
      </c>
      <c r="B140" t="s">
        <v>488</v>
      </c>
      <c r="C140" s="10" t="s">
        <v>731</v>
      </c>
      <c r="D140" s="8" t="s">
        <v>540</v>
      </c>
      <c r="J140" t="s">
        <v>47</v>
      </c>
      <c r="K140" s="21">
        <v>1600</v>
      </c>
      <c r="L140" s="21">
        <v>900</v>
      </c>
      <c r="M140" s="21">
        <v>1300</v>
      </c>
      <c r="N140" s="21">
        <v>1600</v>
      </c>
      <c r="O140" s="21">
        <v>1000</v>
      </c>
      <c r="P140" s="21">
        <v>1600</v>
      </c>
      <c r="Q140" s="21"/>
      <c r="V140" t="s">
        <v>26</v>
      </c>
      <c r="W140" t="s">
        <v>25</v>
      </c>
      <c r="X140">
        <v>4</v>
      </c>
      <c r="Y140" t="s">
        <v>684</v>
      </c>
    </row>
    <row r="141" spans="1:25" x14ac:dyDescent="0.4">
      <c r="A141" s="12">
        <v>45734</v>
      </c>
      <c r="B141" t="s">
        <v>488</v>
      </c>
      <c r="C141" s="10" t="s">
        <v>732</v>
      </c>
      <c r="D141" s="8" t="s">
        <v>542</v>
      </c>
      <c r="J141" t="s">
        <v>35</v>
      </c>
      <c r="O141" s="21">
        <v>1000</v>
      </c>
      <c r="X141">
        <v>4</v>
      </c>
      <c r="Y141" t="s">
        <v>800</v>
      </c>
    </row>
    <row r="142" spans="1:25" x14ac:dyDescent="0.4">
      <c r="A142" s="12">
        <v>45734</v>
      </c>
      <c r="B142" t="s">
        <v>488</v>
      </c>
      <c r="C142" s="10" t="s">
        <v>734</v>
      </c>
      <c r="D142" s="8" t="s">
        <v>546</v>
      </c>
      <c r="J142" t="s">
        <v>20</v>
      </c>
      <c r="K142" s="21">
        <v>1290</v>
      </c>
      <c r="L142" s="21">
        <v>749</v>
      </c>
      <c r="M142" s="21">
        <v>949</v>
      </c>
      <c r="N142" s="21">
        <v>1290</v>
      </c>
      <c r="O142" s="21">
        <v>1590</v>
      </c>
      <c r="P142" s="21">
        <v>1788</v>
      </c>
      <c r="Q142" s="21">
        <v>13500</v>
      </c>
      <c r="V142" t="s">
        <v>25</v>
      </c>
      <c r="W142" t="s">
        <v>25</v>
      </c>
      <c r="X142">
        <v>4</v>
      </c>
      <c r="Y142" t="s">
        <v>685</v>
      </c>
    </row>
    <row r="143" spans="1:25" x14ac:dyDescent="0.4">
      <c r="A143" s="12">
        <v>45734</v>
      </c>
      <c r="B143" t="s">
        <v>488</v>
      </c>
      <c r="C143" s="10" t="s">
        <v>735</v>
      </c>
      <c r="D143" s="8" t="s">
        <v>548</v>
      </c>
      <c r="J143" t="s">
        <v>35</v>
      </c>
      <c r="O143" s="21">
        <v>800</v>
      </c>
      <c r="X143">
        <v>4</v>
      </c>
      <c r="Y143" t="s">
        <v>798</v>
      </c>
    </row>
    <row r="144" spans="1:25" x14ac:dyDescent="0.4">
      <c r="A144" s="12">
        <v>45734</v>
      </c>
      <c r="B144" t="s">
        <v>488</v>
      </c>
      <c r="C144" s="10" t="s">
        <v>737</v>
      </c>
      <c r="D144" s="8" t="s">
        <v>552</v>
      </c>
      <c r="J144" t="s">
        <v>20</v>
      </c>
      <c r="K144" s="21">
        <v>1485</v>
      </c>
      <c r="L144" s="21">
        <v>749</v>
      </c>
      <c r="M144" s="21">
        <v>1050</v>
      </c>
      <c r="N144" s="21">
        <v>1690</v>
      </c>
      <c r="O144" s="21">
        <v>1490</v>
      </c>
      <c r="P144" s="21">
        <v>1790</v>
      </c>
      <c r="Q144" s="21">
        <v>9350</v>
      </c>
      <c r="V144" t="s">
        <v>25</v>
      </c>
      <c r="W144" t="s">
        <v>25</v>
      </c>
      <c r="X144">
        <v>4</v>
      </c>
      <c r="Y144" t="s">
        <v>796</v>
      </c>
    </row>
    <row r="145" spans="1:25" x14ac:dyDescent="0.4">
      <c r="A145" s="12">
        <v>45734</v>
      </c>
      <c r="B145" t="s">
        <v>488</v>
      </c>
      <c r="C145" s="10" t="s">
        <v>739</v>
      </c>
      <c r="D145" s="8" t="s">
        <v>556</v>
      </c>
      <c r="J145" t="s">
        <v>37</v>
      </c>
      <c r="K145" s="21">
        <v>1390</v>
      </c>
      <c r="L145" s="21">
        <v>790</v>
      </c>
      <c r="M145" s="21">
        <v>990</v>
      </c>
      <c r="N145" s="21">
        <v>1600</v>
      </c>
      <c r="O145" s="21">
        <v>590</v>
      </c>
      <c r="P145" s="21">
        <v>2145</v>
      </c>
      <c r="Q145" s="21">
        <v>12800</v>
      </c>
      <c r="V145" t="s">
        <v>25</v>
      </c>
      <c r="W145" t="s">
        <v>25</v>
      </c>
      <c r="X145">
        <v>4</v>
      </c>
      <c r="Y145" t="s">
        <v>686</v>
      </c>
    </row>
    <row r="146" spans="1:25" x14ac:dyDescent="0.4">
      <c r="A146" s="12">
        <v>45734</v>
      </c>
      <c r="B146" t="s">
        <v>488</v>
      </c>
      <c r="C146" s="10" t="s">
        <v>740</v>
      </c>
      <c r="D146" s="8" t="s">
        <v>558</v>
      </c>
      <c r="J146" t="s">
        <v>47</v>
      </c>
      <c r="K146" s="21"/>
      <c r="L146" s="21">
        <v>1800</v>
      </c>
      <c r="M146" s="21">
        <v>2000</v>
      </c>
      <c r="N146" s="21"/>
      <c r="O146" s="21"/>
      <c r="P146" s="21">
        <v>1300</v>
      </c>
      <c r="Q146" s="21"/>
      <c r="V146" t="s">
        <v>26</v>
      </c>
      <c r="W146" t="s">
        <v>25</v>
      </c>
      <c r="X146">
        <v>4</v>
      </c>
      <c r="Y146" t="s">
        <v>795</v>
      </c>
    </row>
    <row r="147" spans="1:25" x14ac:dyDescent="0.4">
      <c r="A147" s="12">
        <v>45734</v>
      </c>
      <c r="B147" t="s">
        <v>488</v>
      </c>
      <c r="C147" s="10" t="s">
        <v>741</v>
      </c>
      <c r="D147" s="8" t="s">
        <v>560</v>
      </c>
      <c r="J147" t="s">
        <v>35</v>
      </c>
      <c r="O147" s="21">
        <v>1333</v>
      </c>
      <c r="X147">
        <v>4</v>
      </c>
      <c r="Y147" t="s">
        <v>687</v>
      </c>
    </row>
    <row r="148" spans="1:25" x14ac:dyDescent="0.4">
      <c r="A148" s="12">
        <v>45734</v>
      </c>
      <c r="B148" t="s">
        <v>488</v>
      </c>
      <c r="C148" s="10" t="s">
        <v>742</v>
      </c>
      <c r="D148" s="8" t="s">
        <v>562</v>
      </c>
      <c r="J148" t="s">
        <v>47</v>
      </c>
      <c r="K148" s="21"/>
      <c r="L148" s="21"/>
      <c r="M148" s="21"/>
      <c r="N148" s="21">
        <v>1800</v>
      </c>
      <c r="O148" s="21">
        <v>1000</v>
      </c>
      <c r="P148" s="21"/>
      <c r="Q148" s="21"/>
      <c r="V148" t="s">
        <v>26</v>
      </c>
      <c r="W148" t="s">
        <v>25</v>
      </c>
      <c r="X148">
        <v>4</v>
      </c>
      <c r="Y148" t="s">
        <v>809</v>
      </c>
    </row>
    <row r="149" spans="1:25" x14ac:dyDescent="0.4">
      <c r="A149" s="12">
        <v>45734</v>
      </c>
      <c r="B149" t="s">
        <v>488</v>
      </c>
      <c r="C149" s="10" t="s">
        <v>743</v>
      </c>
      <c r="D149" s="8" t="s">
        <v>564</v>
      </c>
      <c r="J149" t="s">
        <v>37</v>
      </c>
      <c r="K149" s="21">
        <v>1390</v>
      </c>
      <c r="L149" s="21">
        <v>790</v>
      </c>
      <c r="M149" s="21">
        <v>990</v>
      </c>
      <c r="N149" s="21">
        <v>1600</v>
      </c>
      <c r="O149" s="21">
        <v>590</v>
      </c>
      <c r="P149" s="21">
        <v>2145</v>
      </c>
      <c r="Q149" s="21">
        <v>12800</v>
      </c>
      <c r="V149" t="s">
        <v>25</v>
      </c>
      <c r="W149" t="s">
        <v>25</v>
      </c>
      <c r="X149">
        <v>4</v>
      </c>
      <c r="Y149" t="s">
        <v>779</v>
      </c>
    </row>
    <row r="150" spans="1:25" x14ac:dyDescent="0.4">
      <c r="A150" s="12">
        <v>45734</v>
      </c>
      <c r="B150" t="s">
        <v>488</v>
      </c>
      <c r="C150" s="10" t="s">
        <v>744</v>
      </c>
      <c r="D150" s="8" t="s">
        <v>566</v>
      </c>
      <c r="J150" t="s">
        <v>60</v>
      </c>
      <c r="K150" s="21">
        <v>1290</v>
      </c>
      <c r="L150" s="21">
        <v>870</v>
      </c>
      <c r="M150" s="21">
        <v>1080</v>
      </c>
      <c r="N150" s="21">
        <v>1050</v>
      </c>
      <c r="O150" s="21">
        <v>1629</v>
      </c>
      <c r="P150" s="21">
        <v>1845</v>
      </c>
      <c r="Q150" s="21">
        <v>5315</v>
      </c>
      <c r="V150" t="s">
        <v>25</v>
      </c>
      <c r="W150" t="s">
        <v>25</v>
      </c>
      <c r="X150">
        <v>4</v>
      </c>
      <c r="Y150" t="s">
        <v>688</v>
      </c>
    </row>
    <row r="151" spans="1:25" x14ac:dyDescent="0.4">
      <c r="A151" s="12">
        <v>45734</v>
      </c>
      <c r="B151" t="s">
        <v>488</v>
      </c>
      <c r="C151" s="10" t="s">
        <v>745</v>
      </c>
      <c r="D151" s="8" t="s">
        <v>568</v>
      </c>
      <c r="J151" t="s">
        <v>20</v>
      </c>
      <c r="K151" s="21">
        <v>1290</v>
      </c>
      <c r="L151" s="21">
        <v>749</v>
      </c>
      <c r="M151" s="21">
        <v>949</v>
      </c>
      <c r="N151" s="21">
        <v>1290</v>
      </c>
      <c r="O151" s="21">
        <v>1590</v>
      </c>
      <c r="P151" s="21">
        <v>1788</v>
      </c>
      <c r="Q151" s="21">
        <v>9350</v>
      </c>
      <c r="V151" t="s">
        <v>25</v>
      </c>
      <c r="W151" t="s">
        <v>25</v>
      </c>
      <c r="X151">
        <v>4</v>
      </c>
      <c r="Y151" t="s">
        <v>689</v>
      </c>
    </row>
    <row r="152" spans="1:25" x14ac:dyDescent="0.4">
      <c r="A152" s="12">
        <v>45734</v>
      </c>
      <c r="B152" t="s">
        <v>488</v>
      </c>
      <c r="C152" s="10" t="s">
        <v>747</v>
      </c>
      <c r="D152" s="8" t="s">
        <v>572</v>
      </c>
      <c r="J152" t="s">
        <v>35</v>
      </c>
      <c r="O152" s="21">
        <v>1000</v>
      </c>
      <c r="X152">
        <v>4</v>
      </c>
      <c r="Y152" t="s">
        <v>794</v>
      </c>
    </row>
    <row r="153" spans="1:25" x14ac:dyDescent="0.4">
      <c r="A153" s="12">
        <v>45734</v>
      </c>
      <c r="B153" t="s">
        <v>488</v>
      </c>
      <c r="C153" s="10" t="s">
        <v>750</v>
      </c>
      <c r="D153" s="8" t="s">
        <v>578</v>
      </c>
      <c r="J153" t="s">
        <v>35</v>
      </c>
      <c r="O153" s="21">
        <v>1000</v>
      </c>
      <c r="X153">
        <v>4</v>
      </c>
      <c r="Y153" t="s">
        <v>690</v>
      </c>
    </row>
    <row r="154" spans="1:25" x14ac:dyDescent="0.4">
      <c r="A154" s="12">
        <v>45734</v>
      </c>
      <c r="B154" t="s">
        <v>488</v>
      </c>
      <c r="C154" s="10" t="s">
        <v>752</v>
      </c>
      <c r="D154" s="8" t="s">
        <v>582</v>
      </c>
      <c r="J154" t="s">
        <v>35</v>
      </c>
      <c r="O154" s="21">
        <v>750</v>
      </c>
      <c r="X154">
        <v>4</v>
      </c>
      <c r="Y154" t="s">
        <v>785</v>
      </c>
    </row>
    <row r="155" spans="1:25" x14ac:dyDescent="0.4">
      <c r="A155" s="12">
        <v>45734</v>
      </c>
      <c r="B155" t="s">
        <v>488</v>
      </c>
      <c r="C155" s="10" t="s">
        <v>754</v>
      </c>
      <c r="D155" s="8" t="s">
        <v>586</v>
      </c>
      <c r="J155" t="s">
        <v>47</v>
      </c>
      <c r="K155" s="21">
        <v>1900</v>
      </c>
      <c r="L155" s="21">
        <v>1300</v>
      </c>
      <c r="M155" s="21">
        <v>1400</v>
      </c>
      <c r="N155" s="21">
        <v>2600</v>
      </c>
      <c r="O155" s="21"/>
      <c r="P155" s="21">
        <v>1035</v>
      </c>
      <c r="Q155" s="21"/>
      <c r="V155" t="s">
        <v>26</v>
      </c>
      <c r="W155" t="s">
        <v>25</v>
      </c>
      <c r="X155">
        <v>4</v>
      </c>
      <c r="Y155" t="s">
        <v>780</v>
      </c>
    </row>
    <row r="156" spans="1:25" x14ac:dyDescent="0.4">
      <c r="A156" s="12">
        <v>45734</v>
      </c>
      <c r="B156" t="s">
        <v>488</v>
      </c>
      <c r="C156" s="10" t="s">
        <v>755</v>
      </c>
      <c r="D156" s="8" t="s">
        <v>588</v>
      </c>
      <c r="J156" t="s">
        <v>35</v>
      </c>
      <c r="O156" s="21">
        <v>700</v>
      </c>
      <c r="X156">
        <v>4</v>
      </c>
      <c r="Y156" t="s">
        <v>781</v>
      </c>
    </row>
    <row r="157" spans="1:25" x14ac:dyDescent="0.4">
      <c r="A157" s="12">
        <v>45734</v>
      </c>
      <c r="B157" t="s">
        <v>488</v>
      </c>
      <c r="C157" s="10" t="s">
        <v>757</v>
      </c>
      <c r="D157" s="8" t="s">
        <v>593</v>
      </c>
      <c r="J157" t="s">
        <v>35</v>
      </c>
      <c r="O157" s="21">
        <v>700</v>
      </c>
      <c r="X157">
        <v>4</v>
      </c>
      <c r="Y157" t="s">
        <v>693</v>
      </c>
    </row>
    <row r="158" spans="1:25" x14ac:dyDescent="0.4">
      <c r="A158" s="12">
        <v>45734</v>
      </c>
      <c r="B158" t="s">
        <v>488</v>
      </c>
      <c r="C158" s="10" t="s">
        <v>758</v>
      </c>
      <c r="D158" s="8" t="s">
        <v>594</v>
      </c>
      <c r="J158" t="s">
        <v>60</v>
      </c>
      <c r="K158" s="21">
        <v>1290</v>
      </c>
      <c r="L158" s="21">
        <v>870</v>
      </c>
      <c r="M158" s="21">
        <v>1080</v>
      </c>
      <c r="N158" s="21">
        <v>1620</v>
      </c>
      <c r="O158" s="21">
        <v>869</v>
      </c>
      <c r="P158" s="21">
        <v>1059</v>
      </c>
      <c r="Q158" s="21">
        <v>5315</v>
      </c>
      <c r="V158" t="s">
        <v>25</v>
      </c>
      <c r="W158" t="s">
        <v>25</v>
      </c>
      <c r="X158">
        <v>4</v>
      </c>
      <c r="Y158" t="s">
        <v>784</v>
      </c>
    </row>
    <row r="159" spans="1:25" x14ac:dyDescent="0.4">
      <c r="A159" s="12">
        <v>45734</v>
      </c>
      <c r="B159" t="s">
        <v>488</v>
      </c>
      <c r="C159" s="10" t="s">
        <v>759</v>
      </c>
      <c r="D159" s="8" t="s">
        <v>596</v>
      </c>
      <c r="J159" t="s">
        <v>37</v>
      </c>
      <c r="K159" s="21">
        <v>1390</v>
      </c>
      <c r="L159" s="21">
        <v>790</v>
      </c>
      <c r="M159" s="21">
        <v>990</v>
      </c>
      <c r="N159" s="21">
        <v>1600</v>
      </c>
      <c r="O159" s="21">
        <v>590</v>
      </c>
      <c r="P159" s="21">
        <v>2145</v>
      </c>
      <c r="Q159" s="21">
        <v>12800</v>
      </c>
      <c r="V159" t="s">
        <v>25</v>
      </c>
      <c r="W159" t="s">
        <v>25</v>
      </c>
      <c r="X159">
        <v>4</v>
      </c>
      <c r="Y159" t="s">
        <v>694</v>
      </c>
    </row>
    <row r="160" spans="1:25" x14ac:dyDescent="0.4">
      <c r="A160" s="12">
        <v>45734</v>
      </c>
      <c r="B160" t="s">
        <v>488</v>
      </c>
      <c r="C160" s="10" t="s">
        <v>760</v>
      </c>
      <c r="D160" s="8" t="s">
        <v>598</v>
      </c>
      <c r="J160" t="s">
        <v>47</v>
      </c>
      <c r="K160" s="21"/>
      <c r="L160" s="21"/>
      <c r="M160" s="21">
        <v>1500</v>
      </c>
      <c r="N160" s="21">
        <v>1800</v>
      </c>
      <c r="O160" s="21"/>
      <c r="P160" s="21"/>
      <c r="Q160" s="21"/>
      <c r="V160" t="s">
        <v>26</v>
      </c>
      <c r="W160" t="s">
        <v>25</v>
      </c>
      <c r="X160">
        <v>4</v>
      </c>
      <c r="Y160" t="s">
        <v>695</v>
      </c>
    </row>
    <row r="161" spans="1:25" x14ac:dyDescent="0.4">
      <c r="A161" s="12">
        <v>45734</v>
      </c>
      <c r="B161" t="s">
        <v>488</v>
      </c>
      <c r="C161" s="10" t="s">
        <v>761</v>
      </c>
      <c r="D161" s="8" t="s">
        <v>601</v>
      </c>
      <c r="J161" t="s">
        <v>35</v>
      </c>
      <c r="O161" s="21">
        <v>2000</v>
      </c>
      <c r="X161">
        <v>4</v>
      </c>
      <c r="Y161" t="s">
        <v>808</v>
      </c>
    </row>
    <row r="162" spans="1:25" x14ac:dyDescent="0.4">
      <c r="A162" s="12">
        <v>45734</v>
      </c>
      <c r="B162" t="s">
        <v>488</v>
      </c>
      <c r="C162" s="10" t="s">
        <v>762</v>
      </c>
      <c r="D162" s="8" t="s">
        <v>602</v>
      </c>
      <c r="J162" t="s">
        <v>20</v>
      </c>
      <c r="K162" s="21">
        <v>1485</v>
      </c>
      <c r="L162" s="21">
        <v>749</v>
      </c>
      <c r="M162" s="21">
        <v>1050</v>
      </c>
      <c r="N162" s="21">
        <v>1690</v>
      </c>
      <c r="O162" s="21">
        <v>1490</v>
      </c>
      <c r="P162" s="21">
        <v>1790</v>
      </c>
      <c r="Q162" s="21">
        <v>9350</v>
      </c>
      <c r="V162" t="s">
        <v>25</v>
      </c>
      <c r="W162" t="s">
        <v>25</v>
      </c>
      <c r="X162">
        <v>4</v>
      </c>
      <c r="Y162" t="s">
        <v>789</v>
      </c>
    </row>
    <row r="163" spans="1:25" x14ac:dyDescent="0.4">
      <c r="A163" s="12">
        <v>45734</v>
      </c>
      <c r="B163" t="s">
        <v>488</v>
      </c>
      <c r="C163" s="10" t="s">
        <v>763</v>
      </c>
      <c r="D163" s="8" t="s">
        <v>605</v>
      </c>
      <c r="J163" t="s">
        <v>35</v>
      </c>
      <c r="O163" s="21">
        <v>1500</v>
      </c>
      <c r="X163">
        <v>4</v>
      </c>
      <c r="Y163" t="s">
        <v>790</v>
      </c>
    </row>
    <row r="164" spans="1:25" x14ac:dyDescent="0.4">
      <c r="A164" s="12">
        <v>45734</v>
      </c>
      <c r="B164" t="s">
        <v>488</v>
      </c>
      <c r="C164" s="10" t="s">
        <v>764</v>
      </c>
      <c r="D164" s="8" t="s">
        <v>606</v>
      </c>
      <c r="J164" t="s">
        <v>20</v>
      </c>
      <c r="K164" s="21">
        <v>1290</v>
      </c>
      <c r="L164" s="21">
        <v>749</v>
      </c>
      <c r="M164" s="21">
        <v>949</v>
      </c>
      <c r="N164" s="21">
        <v>1290</v>
      </c>
      <c r="O164" s="21">
        <v>1590</v>
      </c>
      <c r="P164" s="21">
        <v>1788</v>
      </c>
      <c r="Q164" s="21">
        <v>13500</v>
      </c>
      <c r="V164" t="s">
        <v>25</v>
      </c>
      <c r="W164" t="s">
        <v>25</v>
      </c>
      <c r="X164">
        <v>4</v>
      </c>
      <c r="Y164" t="s">
        <v>791</v>
      </c>
    </row>
    <row r="165" spans="1:25" x14ac:dyDescent="0.4">
      <c r="A165" s="12">
        <v>45734</v>
      </c>
      <c r="B165" t="s">
        <v>488</v>
      </c>
      <c r="C165" s="10" t="s">
        <v>765</v>
      </c>
      <c r="D165" s="8" t="s">
        <v>609</v>
      </c>
      <c r="J165" t="s">
        <v>35</v>
      </c>
      <c r="O165" s="21">
        <v>1000</v>
      </c>
      <c r="X165">
        <v>4</v>
      </c>
      <c r="Y165" t="s">
        <v>696</v>
      </c>
    </row>
    <row r="166" spans="1:25" x14ac:dyDescent="0.4">
      <c r="A166" s="12">
        <v>45734</v>
      </c>
      <c r="B166" t="s">
        <v>488</v>
      </c>
      <c r="C166" s="10" t="s">
        <v>766</v>
      </c>
      <c r="D166" s="8" t="s">
        <v>610</v>
      </c>
      <c r="J166" t="s">
        <v>47</v>
      </c>
      <c r="K166" s="21"/>
      <c r="L166" s="21">
        <v>2500</v>
      </c>
      <c r="M166" s="21"/>
      <c r="N166" s="21">
        <v>2000</v>
      </c>
      <c r="O166" s="21"/>
      <c r="P166" s="21"/>
      <c r="Q166" s="21"/>
      <c r="V166" t="s">
        <v>26</v>
      </c>
      <c r="W166" t="s">
        <v>25</v>
      </c>
      <c r="X166">
        <v>4</v>
      </c>
      <c r="Y166" t="s">
        <v>697</v>
      </c>
    </row>
    <row r="167" spans="1:25" x14ac:dyDescent="0.4">
      <c r="A167" s="12">
        <v>45734</v>
      </c>
      <c r="B167" t="s">
        <v>488</v>
      </c>
      <c r="C167" s="10" t="s">
        <v>767</v>
      </c>
      <c r="D167" s="8" t="s">
        <v>612</v>
      </c>
      <c r="J167" t="s">
        <v>37</v>
      </c>
      <c r="K167" s="21">
        <v>1430</v>
      </c>
      <c r="L167" s="21">
        <v>540</v>
      </c>
      <c r="M167" s="21">
        <v>990</v>
      </c>
      <c r="N167" s="21">
        <v>1475</v>
      </c>
      <c r="O167" s="21">
        <v>590</v>
      </c>
      <c r="P167" s="21">
        <v>1600</v>
      </c>
      <c r="Q167" s="21">
        <v>12800</v>
      </c>
      <c r="V167" t="s">
        <v>25</v>
      </c>
      <c r="W167" t="s">
        <v>25</v>
      </c>
      <c r="X167">
        <v>4</v>
      </c>
      <c r="Y167" t="s">
        <v>788</v>
      </c>
    </row>
    <row r="168" spans="1:25" x14ac:dyDescent="0.4">
      <c r="A168" s="12">
        <v>45734</v>
      </c>
      <c r="B168" t="s">
        <v>488</v>
      </c>
      <c r="C168" s="10" t="s">
        <v>768</v>
      </c>
      <c r="D168" s="8" t="s">
        <v>614</v>
      </c>
      <c r="J168" t="s">
        <v>47</v>
      </c>
      <c r="K168" s="21"/>
      <c r="L168" s="21"/>
      <c r="M168" s="21">
        <v>1100</v>
      </c>
      <c r="N168" s="21">
        <v>1800</v>
      </c>
      <c r="O168" s="21">
        <v>700</v>
      </c>
      <c r="P168" s="21">
        <v>1200</v>
      </c>
      <c r="Q168" s="21">
        <v>14500</v>
      </c>
      <c r="V168" t="s">
        <v>26</v>
      </c>
      <c r="W168" t="s">
        <v>25</v>
      </c>
      <c r="X168">
        <v>4</v>
      </c>
      <c r="Y168" t="s">
        <v>783</v>
      </c>
    </row>
    <row r="169" spans="1:25" x14ac:dyDescent="0.4">
      <c r="A169" s="12">
        <v>45734</v>
      </c>
      <c r="B169" t="s">
        <v>488</v>
      </c>
      <c r="C169" s="10" t="s">
        <v>769</v>
      </c>
      <c r="D169" s="8" t="s">
        <v>616</v>
      </c>
      <c r="J169" t="s">
        <v>37</v>
      </c>
      <c r="K169" s="21">
        <v>1430</v>
      </c>
      <c r="L169" s="21">
        <v>540</v>
      </c>
      <c r="M169" s="21">
        <v>990</v>
      </c>
      <c r="N169" s="21">
        <v>1475</v>
      </c>
      <c r="O169" s="21">
        <v>590</v>
      </c>
      <c r="P169" s="21">
        <v>1600</v>
      </c>
      <c r="Q169" s="21">
        <v>12800</v>
      </c>
      <c r="V169" t="s">
        <v>25</v>
      </c>
      <c r="W169" t="s">
        <v>25</v>
      </c>
      <c r="X169">
        <v>4</v>
      </c>
      <c r="Y169" t="s">
        <v>698</v>
      </c>
    </row>
    <row r="170" spans="1:25" x14ac:dyDescent="0.4">
      <c r="A170" s="12">
        <v>45734</v>
      </c>
      <c r="B170" t="s">
        <v>488</v>
      </c>
      <c r="C170" s="10" t="s">
        <v>770</v>
      </c>
      <c r="D170" s="8" t="s">
        <v>618</v>
      </c>
      <c r="J170" t="s">
        <v>20</v>
      </c>
      <c r="K170" s="21">
        <v>1485</v>
      </c>
      <c r="L170" s="21">
        <v>749</v>
      </c>
      <c r="M170" s="21">
        <v>1050</v>
      </c>
      <c r="N170" s="21">
        <v>1690</v>
      </c>
      <c r="O170" s="21">
        <v>1490</v>
      </c>
      <c r="P170" s="21">
        <v>1790</v>
      </c>
      <c r="Q170" s="21">
        <v>9350</v>
      </c>
      <c r="V170" t="s">
        <v>25</v>
      </c>
      <c r="W170" t="s">
        <v>25</v>
      </c>
      <c r="X170">
        <v>4</v>
      </c>
      <c r="Y170" t="s">
        <v>782</v>
      </c>
    </row>
    <row r="171" spans="1:25" x14ac:dyDescent="0.4">
      <c r="A171" s="12">
        <v>45734</v>
      </c>
      <c r="B171" t="s">
        <v>488</v>
      </c>
      <c r="C171" s="10" t="s">
        <v>771</v>
      </c>
      <c r="D171" s="8" t="s">
        <v>620</v>
      </c>
      <c r="J171" t="s">
        <v>47</v>
      </c>
      <c r="K171" s="21">
        <v>1485</v>
      </c>
      <c r="L171" s="21">
        <v>940</v>
      </c>
      <c r="M171" s="21">
        <v>949</v>
      </c>
      <c r="N171" s="21">
        <v>1400</v>
      </c>
      <c r="O171" s="21">
        <v>1400</v>
      </c>
      <c r="P171" s="21">
        <v>1288</v>
      </c>
      <c r="Q171" s="21"/>
      <c r="V171" t="s">
        <v>26</v>
      </c>
      <c r="W171" t="s">
        <v>25</v>
      </c>
      <c r="X171">
        <v>4</v>
      </c>
      <c r="Y171" t="s">
        <v>699</v>
      </c>
    </row>
    <row r="172" spans="1:25" x14ac:dyDescent="0.4">
      <c r="A172" s="12">
        <v>45734</v>
      </c>
      <c r="B172" t="s">
        <v>488</v>
      </c>
      <c r="C172" s="10" t="s">
        <v>772</v>
      </c>
      <c r="D172" s="8" t="s">
        <v>622</v>
      </c>
      <c r="J172" t="s">
        <v>35</v>
      </c>
      <c r="O172" s="21">
        <v>1200</v>
      </c>
      <c r="X172">
        <v>4</v>
      </c>
      <c r="Y172" t="s">
        <v>700</v>
      </c>
    </row>
    <row r="173" spans="1:25" x14ac:dyDescent="0.4">
      <c r="A173" s="12">
        <v>45734</v>
      </c>
      <c r="B173" t="s">
        <v>488</v>
      </c>
      <c r="C173" s="10" t="s">
        <v>773</v>
      </c>
      <c r="D173" s="8" t="s">
        <v>624</v>
      </c>
      <c r="J173" t="s">
        <v>20</v>
      </c>
      <c r="K173" s="21">
        <v>1290</v>
      </c>
      <c r="L173" s="21">
        <v>749</v>
      </c>
      <c r="M173" s="21">
        <v>949</v>
      </c>
      <c r="N173" s="21">
        <v>1290</v>
      </c>
      <c r="O173" s="21">
        <v>1590</v>
      </c>
      <c r="P173" s="21">
        <v>1788</v>
      </c>
      <c r="Q173" s="21">
        <v>9350</v>
      </c>
      <c r="V173" t="s">
        <v>25</v>
      </c>
      <c r="W173" t="s">
        <v>25</v>
      </c>
      <c r="X173">
        <v>4</v>
      </c>
      <c r="Y173" t="s">
        <v>701</v>
      </c>
    </row>
    <row r="174" spans="1:25" x14ac:dyDescent="0.4">
      <c r="A174" s="12">
        <v>45734</v>
      </c>
      <c r="B174" t="s">
        <v>488</v>
      </c>
      <c r="C174" s="10" t="s">
        <v>774</v>
      </c>
      <c r="D174" s="8" t="s">
        <v>626</v>
      </c>
      <c r="J174" t="s">
        <v>35</v>
      </c>
      <c r="O174" s="21">
        <v>1000</v>
      </c>
      <c r="X174">
        <v>4</v>
      </c>
      <c r="Y174" t="s">
        <v>702</v>
      </c>
    </row>
    <row r="175" spans="1:25" x14ac:dyDescent="0.4">
      <c r="A175" s="12">
        <v>45734</v>
      </c>
      <c r="B175" t="s">
        <v>488</v>
      </c>
      <c r="C175" s="10" t="s">
        <v>775</v>
      </c>
      <c r="D175" s="8" t="s">
        <v>628</v>
      </c>
      <c r="J175" t="s">
        <v>60</v>
      </c>
      <c r="K175" s="21">
        <v>1290</v>
      </c>
      <c r="L175" s="21">
        <v>870</v>
      </c>
      <c r="M175" s="21">
        <v>1080</v>
      </c>
      <c r="N175" s="21">
        <v>1620</v>
      </c>
      <c r="O175" s="21">
        <v>869</v>
      </c>
      <c r="P175" s="21">
        <v>1059</v>
      </c>
      <c r="Q175" s="21">
        <v>5315</v>
      </c>
      <c r="V175" t="s">
        <v>25</v>
      </c>
      <c r="W175" t="s">
        <v>25</v>
      </c>
      <c r="X175">
        <v>4</v>
      </c>
      <c r="Y175" t="s">
        <v>703</v>
      </c>
    </row>
    <row r="176" spans="1:25" x14ac:dyDescent="0.4">
      <c r="A176" s="12">
        <v>45734</v>
      </c>
      <c r="B176" t="s">
        <v>488</v>
      </c>
      <c r="C176" s="10" t="s">
        <v>776</v>
      </c>
      <c r="D176" s="8" t="s">
        <v>630</v>
      </c>
      <c r="J176" t="s">
        <v>47</v>
      </c>
      <c r="K176" s="21"/>
      <c r="L176" s="21">
        <v>1000</v>
      </c>
      <c r="M176" s="21"/>
      <c r="N176" s="21">
        <v>1400</v>
      </c>
      <c r="O176" s="21">
        <v>1500</v>
      </c>
      <c r="P176" s="21"/>
      <c r="Q176" s="21"/>
      <c r="V176" t="s">
        <v>26</v>
      </c>
      <c r="W176" t="s">
        <v>25</v>
      </c>
      <c r="X176">
        <v>4</v>
      </c>
      <c r="Y176" t="s">
        <v>704</v>
      </c>
    </row>
    <row r="177" spans="3:3" x14ac:dyDescent="0.4">
      <c r="C177" s="10"/>
    </row>
  </sheetData>
  <autoFilter ref="A1:AB177" xr:uid="{360AF057-C611-418A-9597-BCAE41466596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CAAC78-666A-4DC5-8C0D-64816113B1C9}">
          <x14:formula1>
            <xm:f>Hoja2!$A$1:$A$14</xm:f>
          </x14:formula1>
          <xm:sqref>J101:J120 J122:J1048567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78FE3-304A-4543-A16B-BC1CE46BCA57}">
  <dimension ref="A1:AB176"/>
  <sheetViews>
    <sheetView workbookViewId="0">
      <pane ySplit="1" topLeftCell="A155" activePane="bottomLeft" state="frozen"/>
      <selection pane="bottomLeft" activeCell="A101" sqref="A101:XFD17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53515625" style="8" customWidth="1"/>
    <col min="5" max="9" width="1.69140625" customWidth="1"/>
    <col min="10" max="10" width="11.3046875" customWidth="1"/>
    <col min="11" max="16" width="11.07421875" customWidth="1"/>
    <col min="17" max="17" width="9.53515625" customWidth="1"/>
    <col min="18" max="21" width="1.4609375" customWidth="1"/>
    <col min="22" max="22" width="5" bestFit="1" customWidth="1"/>
    <col min="23" max="23" width="6.07421875" bestFit="1" customWidth="1"/>
    <col min="24" max="24" width="6.07421875" customWidth="1"/>
    <col min="25" max="25" width="44.23046875" bestFit="1" customWidth="1"/>
    <col min="26" max="26" width="11.074218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t="s">
        <v>20</v>
      </c>
      <c r="K2" s="21">
        <v>1485</v>
      </c>
      <c r="L2" s="21">
        <v>749</v>
      </c>
      <c r="M2" s="21">
        <v>1050</v>
      </c>
      <c r="N2" s="21">
        <v>1690</v>
      </c>
      <c r="O2" s="21">
        <v>1490</v>
      </c>
      <c r="P2" s="21">
        <v>1790</v>
      </c>
      <c r="Q2" s="21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t="s">
        <v>21</v>
      </c>
      <c r="K3" s="21"/>
      <c r="L3" s="21"/>
      <c r="M3" s="21"/>
      <c r="N3" s="21"/>
      <c r="O3" s="21"/>
      <c r="P3" s="21"/>
      <c r="Q3" s="21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t="s">
        <v>47</v>
      </c>
      <c r="K4" s="21"/>
      <c r="L4" s="21"/>
      <c r="M4" s="21"/>
      <c r="N4" s="21">
        <v>1800</v>
      </c>
      <c r="O4" s="21">
        <v>750</v>
      </c>
      <c r="P4" s="21">
        <v>1500</v>
      </c>
      <c r="Q4" s="21"/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t="s">
        <v>24</v>
      </c>
      <c r="K5" s="21">
        <v>1300</v>
      </c>
      <c r="L5" s="21">
        <v>800</v>
      </c>
      <c r="M5" s="21">
        <v>900</v>
      </c>
      <c r="N5" s="21">
        <v>1400</v>
      </c>
      <c r="O5" s="21"/>
      <c r="P5" s="21">
        <v>1200</v>
      </c>
      <c r="Q5" s="21"/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t="s">
        <v>28</v>
      </c>
      <c r="K6" s="21"/>
      <c r="L6" s="21"/>
      <c r="M6" s="21"/>
      <c r="N6" s="21"/>
      <c r="O6" s="21"/>
      <c r="P6" s="21">
        <v>1950</v>
      </c>
      <c r="Q6" s="21"/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t="s">
        <v>20</v>
      </c>
      <c r="K7" s="21">
        <v>1290</v>
      </c>
      <c r="L7" s="21">
        <v>749</v>
      </c>
      <c r="M7" s="21">
        <v>949</v>
      </c>
      <c r="N7" s="21">
        <v>1400</v>
      </c>
      <c r="O7" s="21">
        <v>1490</v>
      </c>
      <c r="P7" s="21">
        <v>1790</v>
      </c>
      <c r="Q7" s="21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t="s">
        <v>21</v>
      </c>
      <c r="K8" s="21"/>
      <c r="L8" s="21"/>
      <c r="M8" s="21"/>
      <c r="N8" s="21"/>
      <c r="O8" s="21"/>
      <c r="P8" s="21"/>
      <c r="Q8" s="21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t="s">
        <v>47</v>
      </c>
      <c r="K9" s="21">
        <v>2400</v>
      </c>
      <c r="L9" s="21">
        <v>1300</v>
      </c>
      <c r="M9" s="21">
        <v>1600</v>
      </c>
      <c r="N9" s="21">
        <v>2400</v>
      </c>
      <c r="O9" s="21"/>
      <c r="P9" s="21">
        <v>1700</v>
      </c>
      <c r="Q9" s="21"/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t="s">
        <v>20</v>
      </c>
      <c r="K10" s="21">
        <v>1290</v>
      </c>
      <c r="L10" s="21">
        <v>749</v>
      </c>
      <c r="M10" s="21">
        <v>899</v>
      </c>
      <c r="N10" s="21">
        <v>1290</v>
      </c>
      <c r="O10" s="21">
        <v>1490</v>
      </c>
      <c r="P10" s="21">
        <v>1785</v>
      </c>
      <c r="Q10" s="21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t="s">
        <v>24</v>
      </c>
      <c r="K11" s="21">
        <v>1800</v>
      </c>
      <c r="L11" s="21">
        <v>1500</v>
      </c>
      <c r="M11" s="21">
        <v>1300</v>
      </c>
      <c r="N11" s="21">
        <v>1000</v>
      </c>
      <c r="O11" s="21"/>
      <c r="P11" s="21">
        <v>1000</v>
      </c>
      <c r="Q11" s="21"/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t="s">
        <v>35</v>
      </c>
      <c r="K12" s="21"/>
      <c r="L12" s="21"/>
      <c r="M12" s="21"/>
      <c r="N12" s="21"/>
      <c r="O12" s="21">
        <v>1000</v>
      </c>
      <c r="P12" s="21"/>
      <c r="Q12" s="21"/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t="s">
        <v>47</v>
      </c>
      <c r="K13" s="21"/>
      <c r="L13" s="21">
        <v>1800</v>
      </c>
      <c r="M13" s="21">
        <v>2000</v>
      </c>
      <c r="N13" s="21"/>
      <c r="O13" s="21"/>
      <c r="P13" s="21">
        <v>1300</v>
      </c>
      <c r="Q13" s="21"/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t="s">
        <v>37</v>
      </c>
      <c r="K14" s="21">
        <v>1740</v>
      </c>
      <c r="L14" s="21">
        <v>790</v>
      </c>
      <c r="M14" s="21">
        <v>990</v>
      </c>
      <c r="N14" s="21">
        <v>1190</v>
      </c>
      <c r="O14" s="21">
        <v>590</v>
      </c>
      <c r="P14" s="21">
        <v>2410</v>
      </c>
      <c r="Q14" s="21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t="s">
        <v>47</v>
      </c>
      <c r="K15" s="21"/>
      <c r="L15" s="21"/>
      <c r="M15" s="21"/>
      <c r="N15" s="21">
        <v>1800</v>
      </c>
      <c r="O15" s="21">
        <v>1000</v>
      </c>
      <c r="P15" s="21"/>
      <c r="Q15" s="21"/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t="s">
        <v>20</v>
      </c>
      <c r="K16" s="21">
        <v>1290</v>
      </c>
      <c r="L16" s="21">
        <v>749</v>
      </c>
      <c r="M16" s="21">
        <v>899</v>
      </c>
      <c r="N16" s="21">
        <v>1290</v>
      </c>
      <c r="O16" s="21">
        <v>1490</v>
      </c>
      <c r="P16" s="21">
        <v>1785</v>
      </c>
      <c r="Q16" s="21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t="s">
        <v>47</v>
      </c>
      <c r="K17" s="21">
        <v>1900</v>
      </c>
      <c r="L17" s="21">
        <v>1300</v>
      </c>
      <c r="M17" s="21">
        <v>1400</v>
      </c>
      <c r="N17" s="21">
        <v>2600</v>
      </c>
      <c r="O17" s="21"/>
      <c r="P17" s="21">
        <v>1035</v>
      </c>
      <c r="Q17" s="21"/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t="s">
        <v>66</v>
      </c>
      <c r="K18" s="21"/>
      <c r="L18" s="21"/>
      <c r="M18" s="21"/>
      <c r="N18" s="21">
        <v>2200</v>
      </c>
      <c r="O18" s="21">
        <v>900</v>
      </c>
      <c r="P18" s="21">
        <v>1742</v>
      </c>
      <c r="Q18" s="21"/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t="s">
        <v>20</v>
      </c>
      <c r="K19" s="21">
        <v>1290</v>
      </c>
      <c r="L19" s="21">
        <v>749</v>
      </c>
      <c r="M19" s="21">
        <v>899</v>
      </c>
      <c r="N19" s="21">
        <v>1290</v>
      </c>
      <c r="O19" s="21">
        <v>1490</v>
      </c>
      <c r="P19" s="21">
        <v>1785</v>
      </c>
      <c r="Q19" s="21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t="s">
        <v>24</v>
      </c>
      <c r="K20" s="21">
        <v>1700</v>
      </c>
      <c r="L20" s="21">
        <v>900</v>
      </c>
      <c r="M20" s="21">
        <v>1300</v>
      </c>
      <c r="N20" s="21">
        <v>1200</v>
      </c>
      <c r="O20" s="21">
        <v>1000</v>
      </c>
      <c r="P20" s="21">
        <v>1600</v>
      </c>
      <c r="Q20" s="21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t="s">
        <v>35</v>
      </c>
      <c r="K21" s="21"/>
      <c r="L21" s="21"/>
      <c r="M21" s="21"/>
      <c r="N21" s="21"/>
      <c r="O21" s="21">
        <v>1000</v>
      </c>
      <c r="P21" s="21"/>
      <c r="Q21" s="21"/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t="s">
        <v>37</v>
      </c>
      <c r="K22" s="21">
        <v>1390</v>
      </c>
      <c r="L22" s="21">
        <v>790</v>
      </c>
      <c r="M22" s="21">
        <v>990</v>
      </c>
      <c r="N22" s="21">
        <v>1600</v>
      </c>
      <c r="O22" s="21">
        <v>590</v>
      </c>
      <c r="P22" s="21">
        <v>2145</v>
      </c>
      <c r="Q22" s="21">
        <v>12800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t="s">
        <v>47</v>
      </c>
      <c r="K23" s="21"/>
      <c r="L23" s="21"/>
      <c r="M23" s="21">
        <v>1500</v>
      </c>
      <c r="N23" s="21">
        <v>1800</v>
      </c>
      <c r="O23" s="21"/>
      <c r="P23" s="21"/>
      <c r="Q23" s="21"/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t="s">
        <v>35</v>
      </c>
      <c r="K24" s="21"/>
      <c r="L24" s="21"/>
      <c r="M24" s="21"/>
      <c r="N24" s="21"/>
      <c r="O24" s="21">
        <v>800</v>
      </c>
      <c r="P24" s="21"/>
      <c r="Q24" s="21"/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t="s">
        <v>47</v>
      </c>
      <c r="K25" s="21"/>
      <c r="L25" s="21">
        <v>2500</v>
      </c>
      <c r="M25" s="21"/>
      <c r="N25" s="21">
        <v>2000</v>
      </c>
      <c r="O25" s="21"/>
      <c r="P25" s="21"/>
      <c r="Q25" s="21"/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t="s">
        <v>47</v>
      </c>
      <c r="K26" s="21"/>
      <c r="L26" s="21"/>
      <c r="M26" s="21">
        <v>1100</v>
      </c>
      <c r="N26" s="21">
        <v>1800</v>
      </c>
      <c r="O26" s="21">
        <v>700</v>
      </c>
      <c r="P26" s="21">
        <v>1200</v>
      </c>
      <c r="Q26" s="21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t="s">
        <v>24</v>
      </c>
      <c r="K27" s="21"/>
      <c r="L27" s="21">
        <v>1500</v>
      </c>
      <c r="M27" s="21">
        <v>1700</v>
      </c>
      <c r="N27" s="21">
        <v>2000</v>
      </c>
      <c r="O27" s="21">
        <v>1200</v>
      </c>
      <c r="P27" s="21">
        <v>1500</v>
      </c>
      <c r="Q27" s="21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t="s">
        <v>24</v>
      </c>
      <c r="K28" s="21">
        <v>1600</v>
      </c>
      <c r="L28" s="21">
        <v>1000</v>
      </c>
      <c r="M28" s="21">
        <v>1500</v>
      </c>
      <c r="N28" s="21">
        <v>1800</v>
      </c>
      <c r="O28" s="21">
        <v>1000</v>
      </c>
      <c r="P28" s="21">
        <v>2300</v>
      </c>
      <c r="Q28" s="21"/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t="s">
        <v>24</v>
      </c>
      <c r="K29" s="21">
        <v>1400</v>
      </c>
      <c r="L29" s="21">
        <v>2000</v>
      </c>
      <c r="M29" s="21">
        <v>2000</v>
      </c>
      <c r="N29" s="21">
        <v>4000</v>
      </c>
      <c r="O29" s="21"/>
      <c r="P29" s="21">
        <v>2136</v>
      </c>
      <c r="Q29" s="21"/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t="s">
        <v>35</v>
      </c>
      <c r="K30" s="21"/>
      <c r="L30" s="21"/>
      <c r="M30" s="21"/>
      <c r="N30" s="21"/>
      <c r="O30" s="21">
        <v>1333</v>
      </c>
      <c r="P30" s="21"/>
      <c r="Q30" s="21"/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t="s">
        <v>20</v>
      </c>
      <c r="K31" s="21">
        <v>1290</v>
      </c>
      <c r="L31" s="21">
        <v>749</v>
      </c>
      <c r="M31" s="21">
        <v>949</v>
      </c>
      <c r="N31" s="21">
        <v>1290</v>
      </c>
      <c r="O31" s="21">
        <v>1400</v>
      </c>
      <c r="P31" s="21">
        <v>1788</v>
      </c>
      <c r="Q31" s="2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t="s">
        <v>58</v>
      </c>
      <c r="K32" s="21">
        <v>2100</v>
      </c>
      <c r="L32" s="21">
        <v>1200</v>
      </c>
      <c r="M32" s="21">
        <v>2000</v>
      </c>
      <c r="N32" s="21">
        <v>5200</v>
      </c>
      <c r="O32" s="21"/>
      <c r="P32" s="21"/>
      <c r="Q32" s="21"/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t="s">
        <v>47</v>
      </c>
      <c r="K33" s="21">
        <v>1485</v>
      </c>
      <c r="L33" s="21">
        <v>940</v>
      </c>
      <c r="M33" s="21">
        <v>949</v>
      </c>
      <c r="N33" s="21">
        <v>1400</v>
      </c>
      <c r="O33" s="21">
        <v>1400</v>
      </c>
      <c r="P33" s="21">
        <v>1288</v>
      </c>
      <c r="Q33" s="21"/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t="s">
        <v>60</v>
      </c>
      <c r="K34" s="21">
        <v>1290</v>
      </c>
      <c r="L34" s="21">
        <v>870</v>
      </c>
      <c r="M34" s="21">
        <v>1080</v>
      </c>
      <c r="N34" s="21">
        <v>1050</v>
      </c>
      <c r="O34" s="21">
        <v>1629</v>
      </c>
      <c r="P34" s="21">
        <v>1845</v>
      </c>
      <c r="Q34" s="21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t="s">
        <v>47</v>
      </c>
      <c r="K35" s="21"/>
      <c r="L35" s="21">
        <v>1000</v>
      </c>
      <c r="M35" s="21"/>
      <c r="N35" s="21">
        <v>1400</v>
      </c>
      <c r="O35" s="21">
        <v>1500</v>
      </c>
      <c r="P35" s="21"/>
      <c r="Q35" s="21"/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t="s">
        <v>61</v>
      </c>
      <c r="K36" s="21">
        <v>1950</v>
      </c>
      <c r="L36" s="21">
        <v>870</v>
      </c>
      <c r="M36" s="21">
        <v>1080</v>
      </c>
      <c r="N36" s="21">
        <v>1550</v>
      </c>
      <c r="O36" s="21">
        <v>969</v>
      </c>
      <c r="P36" s="21">
        <v>139</v>
      </c>
      <c r="Q36" s="21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t="s">
        <v>20</v>
      </c>
      <c r="K37" s="21">
        <v>1290</v>
      </c>
      <c r="L37" s="21">
        <v>749</v>
      </c>
      <c r="M37" s="21">
        <v>949</v>
      </c>
      <c r="N37" s="21">
        <v>1290</v>
      </c>
      <c r="O37" s="21">
        <v>1590</v>
      </c>
      <c r="P37" s="21">
        <v>1788</v>
      </c>
      <c r="Q37" s="21">
        <v>9350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t="s">
        <v>35</v>
      </c>
      <c r="K38" s="21"/>
      <c r="L38" s="21"/>
      <c r="M38" s="21"/>
      <c r="N38" s="21"/>
      <c r="O38" s="21">
        <v>1000</v>
      </c>
      <c r="P38" s="21"/>
      <c r="Q38" s="21"/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t="s">
        <v>21</v>
      </c>
      <c r="K39" s="21"/>
      <c r="L39" s="21"/>
      <c r="M39" s="21"/>
      <c r="N39" s="21"/>
      <c r="O39" s="21"/>
      <c r="P39" s="21"/>
      <c r="Q39" s="21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t="s">
        <v>66</v>
      </c>
      <c r="K40" s="21"/>
      <c r="L40" s="21">
        <v>1400</v>
      </c>
      <c r="M40" s="21">
        <v>1200</v>
      </c>
      <c r="N40" s="21"/>
      <c r="O40" s="21"/>
      <c r="P40" s="21">
        <v>1500</v>
      </c>
      <c r="Q40" s="21"/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t="s">
        <v>35</v>
      </c>
      <c r="K41" s="21"/>
      <c r="L41" s="21"/>
      <c r="M41" s="21"/>
      <c r="N41" s="21"/>
      <c r="O41" s="21">
        <v>1000</v>
      </c>
      <c r="P41" s="21"/>
      <c r="Q41" s="21"/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t="s">
        <v>69</v>
      </c>
      <c r="K42" s="21">
        <v>1290</v>
      </c>
      <c r="L42" s="21">
        <v>890</v>
      </c>
      <c r="M42" s="21">
        <v>899</v>
      </c>
      <c r="N42" s="21">
        <v>1280</v>
      </c>
      <c r="O42" s="21">
        <v>600</v>
      </c>
      <c r="P42" s="21">
        <v>1278</v>
      </c>
      <c r="Q42" s="21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t="s">
        <v>35</v>
      </c>
      <c r="K43" s="21"/>
      <c r="L43" s="21"/>
      <c r="M43" s="21"/>
      <c r="N43" s="21"/>
      <c r="O43" s="21">
        <v>750</v>
      </c>
      <c r="P43" s="21"/>
      <c r="Q43" s="21"/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t="s">
        <v>24</v>
      </c>
      <c r="K44" s="21">
        <v>1600</v>
      </c>
      <c r="L44" s="21">
        <v>900</v>
      </c>
      <c r="M44" s="21">
        <v>1300</v>
      </c>
      <c r="N44" s="21">
        <v>1600</v>
      </c>
      <c r="O44" s="21">
        <v>1000</v>
      </c>
      <c r="P44" s="21">
        <v>1600</v>
      </c>
      <c r="Q44" s="21"/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t="s">
        <v>35</v>
      </c>
      <c r="K45" s="21"/>
      <c r="L45" s="21"/>
      <c r="M45" s="21"/>
      <c r="N45" s="21"/>
      <c r="O45" s="21">
        <v>700</v>
      </c>
      <c r="P45" s="21"/>
      <c r="Q45" s="21"/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t="s">
        <v>35</v>
      </c>
      <c r="K46" s="21"/>
      <c r="L46" s="21"/>
      <c r="M46" s="21"/>
      <c r="N46" s="21"/>
      <c r="O46" s="21">
        <v>700</v>
      </c>
      <c r="P46" s="21"/>
      <c r="Q46" s="21"/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t="s">
        <v>35</v>
      </c>
      <c r="K47" s="21"/>
      <c r="L47" s="21"/>
      <c r="M47" s="21"/>
      <c r="N47" s="21"/>
      <c r="O47" s="21">
        <v>900</v>
      </c>
      <c r="P47" s="21"/>
      <c r="Q47" s="21"/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t="s">
        <v>35</v>
      </c>
      <c r="K48" s="21"/>
      <c r="L48" s="21"/>
      <c r="M48" s="21"/>
      <c r="N48" s="21"/>
      <c r="O48" s="21">
        <v>1500</v>
      </c>
      <c r="P48" s="21"/>
      <c r="Q48" s="21"/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t="s">
        <v>47</v>
      </c>
      <c r="K49" s="21"/>
      <c r="L49" s="21">
        <v>1200</v>
      </c>
      <c r="M49" s="21">
        <v>1600</v>
      </c>
      <c r="N49" s="21">
        <v>3000</v>
      </c>
      <c r="O49" s="21">
        <v>1500</v>
      </c>
      <c r="P49" s="21"/>
      <c r="Q49" s="21"/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t="s">
        <v>24</v>
      </c>
      <c r="K50" s="21">
        <v>1500</v>
      </c>
      <c r="L50" s="21">
        <v>1100</v>
      </c>
      <c r="M50" s="21">
        <v>1000</v>
      </c>
      <c r="N50" s="21">
        <v>2000</v>
      </c>
      <c r="O50" s="21"/>
      <c r="P50" s="21">
        <v>1411</v>
      </c>
      <c r="Q50" s="21"/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t="s">
        <v>35</v>
      </c>
      <c r="K51" s="21"/>
      <c r="L51" s="21"/>
      <c r="M51" s="21"/>
      <c r="N51" s="21"/>
      <c r="O51" s="21">
        <v>1000</v>
      </c>
      <c r="P51" s="21"/>
      <c r="Q51" s="21"/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t="s">
        <v>20</v>
      </c>
      <c r="K52" s="21">
        <v>1290</v>
      </c>
      <c r="L52" s="21">
        <v>749</v>
      </c>
      <c r="M52" s="21">
        <v>949</v>
      </c>
      <c r="N52" s="21">
        <v>1290</v>
      </c>
      <c r="O52" s="21">
        <v>1590</v>
      </c>
      <c r="P52" s="21">
        <v>1788</v>
      </c>
      <c r="Q52" s="21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t="s">
        <v>21</v>
      </c>
      <c r="K53" s="21"/>
      <c r="L53" s="21"/>
      <c r="M53" s="21"/>
      <c r="N53" s="21"/>
      <c r="O53" s="21"/>
      <c r="P53" s="21"/>
      <c r="Q53" s="21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t="s">
        <v>35</v>
      </c>
      <c r="K54" s="21"/>
      <c r="L54" s="21"/>
      <c r="M54" s="21"/>
      <c r="N54" s="21"/>
      <c r="O54" s="21">
        <v>1200</v>
      </c>
      <c r="P54" s="21"/>
      <c r="Q54" s="21"/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t="s">
        <v>24</v>
      </c>
      <c r="K55" s="21">
        <v>2000</v>
      </c>
      <c r="L55" s="21">
        <v>1200</v>
      </c>
      <c r="M55" s="21">
        <v>1499</v>
      </c>
      <c r="N55" s="21">
        <v>2000</v>
      </c>
      <c r="O55" s="21"/>
      <c r="P55" s="21">
        <v>1800</v>
      </c>
      <c r="Q55" s="21"/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t="s">
        <v>24</v>
      </c>
      <c r="K56" s="21">
        <v>2500</v>
      </c>
      <c r="L56" s="21">
        <v>1800</v>
      </c>
      <c r="M56" s="21">
        <v>1700</v>
      </c>
      <c r="N56" s="21">
        <v>2500</v>
      </c>
      <c r="O56" s="21"/>
      <c r="P56" s="21"/>
      <c r="Q56" s="21"/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t="s">
        <v>37</v>
      </c>
      <c r="K57" s="21">
        <v>1430</v>
      </c>
      <c r="L57" s="21">
        <v>540</v>
      </c>
      <c r="M57" s="21">
        <v>990</v>
      </c>
      <c r="N57" s="21">
        <v>1475</v>
      </c>
      <c r="O57" s="21">
        <v>590</v>
      </c>
      <c r="P57" s="21">
        <v>1600</v>
      </c>
      <c r="Q57" s="21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t="s">
        <v>35</v>
      </c>
      <c r="K58" s="21"/>
      <c r="L58" s="21"/>
      <c r="M58" s="21"/>
      <c r="N58" s="21"/>
      <c r="O58" s="21">
        <v>1000</v>
      </c>
      <c r="P58" s="21"/>
      <c r="Q58" s="21"/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t="s">
        <v>24</v>
      </c>
      <c r="K59" s="21">
        <v>1800</v>
      </c>
      <c r="L59" s="21">
        <v>1300</v>
      </c>
      <c r="M59" s="21">
        <v>1600</v>
      </c>
      <c r="N59" s="21">
        <v>2000</v>
      </c>
      <c r="O59" s="21"/>
      <c r="P59" s="21">
        <v>1600</v>
      </c>
      <c r="Q59" s="21"/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t="s">
        <v>20</v>
      </c>
      <c r="K60" s="21">
        <v>1290</v>
      </c>
      <c r="L60" s="21">
        <v>749</v>
      </c>
      <c r="M60" s="21">
        <v>949</v>
      </c>
      <c r="N60" s="21">
        <v>1290</v>
      </c>
      <c r="O60" s="21">
        <v>1590</v>
      </c>
      <c r="P60" s="21">
        <v>1788</v>
      </c>
      <c r="Q60" s="21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t="s">
        <v>60</v>
      </c>
      <c r="K61" s="21">
        <v>1290</v>
      </c>
      <c r="L61" s="21">
        <v>870</v>
      </c>
      <c r="M61" s="21">
        <v>1080</v>
      </c>
      <c r="N61" s="21">
        <v>1620</v>
      </c>
      <c r="O61" s="21">
        <v>869</v>
      </c>
      <c r="P61" s="21">
        <v>1059</v>
      </c>
      <c r="Q61" s="2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t="s">
        <v>35</v>
      </c>
      <c r="K62" s="21"/>
      <c r="L62" s="21"/>
      <c r="M62" s="21"/>
      <c r="N62" s="21"/>
      <c r="O62" s="21">
        <v>800</v>
      </c>
      <c r="P62" s="21"/>
      <c r="Q62" s="21"/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t="s">
        <v>66</v>
      </c>
      <c r="K63" s="21"/>
      <c r="L63" s="21">
        <v>1400</v>
      </c>
      <c r="M63" s="21">
        <v>1500</v>
      </c>
      <c r="N63" s="21"/>
      <c r="O63" s="21"/>
      <c r="P63" s="21">
        <v>1700</v>
      </c>
      <c r="Q63" s="21"/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t="s">
        <v>87</v>
      </c>
      <c r="K64" s="21"/>
      <c r="L64" s="21"/>
      <c r="M64" s="21"/>
      <c r="N64" s="21"/>
      <c r="O64" s="21"/>
      <c r="P64" s="21"/>
      <c r="Q64" s="21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t="s">
        <v>35</v>
      </c>
      <c r="K65" s="21"/>
      <c r="L65" s="21"/>
      <c r="M65" s="21"/>
      <c r="N65" s="21"/>
      <c r="O65" s="21">
        <v>700</v>
      </c>
      <c r="P65" s="21"/>
      <c r="Q65" s="21"/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t="s">
        <v>87</v>
      </c>
      <c r="K66" s="21"/>
      <c r="L66" s="21"/>
      <c r="M66" s="21"/>
      <c r="N66" s="21"/>
      <c r="O66" s="21"/>
      <c r="P66" s="21"/>
      <c r="Q66" s="21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t="s">
        <v>87</v>
      </c>
      <c r="K67" s="21"/>
      <c r="L67" s="21"/>
      <c r="M67" s="21"/>
      <c r="N67" s="21"/>
      <c r="O67" s="21"/>
      <c r="P67" s="21"/>
      <c r="Q67" s="21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t="s">
        <v>35</v>
      </c>
      <c r="K68" s="21"/>
      <c r="L68" s="21"/>
      <c r="M68" s="21"/>
      <c r="N68" s="21"/>
      <c r="O68" s="21">
        <v>4000</v>
      </c>
      <c r="P68" s="21"/>
      <c r="Q68" s="21"/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t="s">
        <v>35</v>
      </c>
      <c r="K69" s="21"/>
      <c r="L69" s="21"/>
      <c r="M69" s="21"/>
      <c r="N69" s="21"/>
      <c r="O69" s="21">
        <v>2000</v>
      </c>
      <c r="P69" s="21"/>
      <c r="Q69" s="21"/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t="s">
        <v>21</v>
      </c>
      <c r="K70" s="21"/>
      <c r="L70" s="21"/>
      <c r="M70" s="21"/>
      <c r="N70" s="21"/>
      <c r="O70" s="21"/>
      <c r="P70" s="21"/>
      <c r="Q70" s="21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t="s">
        <v>66</v>
      </c>
      <c r="K71" s="21"/>
      <c r="L71" s="21"/>
      <c r="M71" s="21"/>
      <c r="N71" s="21"/>
      <c r="O71" s="21"/>
      <c r="P71" s="21">
        <v>725</v>
      </c>
      <c r="Q71" s="21"/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t="s">
        <v>47</v>
      </c>
      <c r="K72" s="21">
        <v>1600</v>
      </c>
      <c r="L72" s="21">
        <v>1381</v>
      </c>
      <c r="M72" s="21">
        <v>1350</v>
      </c>
      <c r="N72" s="21">
        <v>1400</v>
      </c>
      <c r="O72" s="21"/>
      <c r="P72" s="21">
        <v>1399</v>
      </c>
      <c r="Q72" s="21"/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t="s">
        <v>35</v>
      </c>
      <c r="K73" s="21"/>
      <c r="L73" s="21"/>
      <c r="M73" s="21"/>
      <c r="N73" s="21"/>
      <c r="O73" s="21">
        <v>725</v>
      </c>
      <c r="P73" s="21"/>
      <c r="Q73" s="21"/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t="s">
        <v>35</v>
      </c>
      <c r="K74" s="21"/>
      <c r="L74" s="21"/>
      <c r="M74" s="21"/>
      <c r="N74" s="21"/>
      <c r="O74" s="21">
        <v>725</v>
      </c>
      <c r="P74" s="21"/>
      <c r="Q74" s="21"/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t="s">
        <v>20</v>
      </c>
      <c r="K75" s="21">
        <v>1290</v>
      </c>
      <c r="L75" s="21">
        <v>749</v>
      </c>
      <c r="M75" s="21">
        <v>949</v>
      </c>
      <c r="N75" s="21">
        <v>1290</v>
      </c>
      <c r="O75" s="21">
        <v>1590</v>
      </c>
      <c r="P75" s="21">
        <v>1788</v>
      </c>
      <c r="Q75" s="21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t="s">
        <v>24</v>
      </c>
      <c r="K76" s="21">
        <v>2200</v>
      </c>
      <c r="L76" s="21">
        <v>1000</v>
      </c>
      <c r="M76" s="21">
        <v>1400</v>
      </c>
      <c r="N76" s="21">
        <v>2300</v>
      </c>
      <c r="O76" s="21">
        <v>1500</v>
      </c>
      <c r="P76" s="21">
        <v>2700</v>
      </c>
      <c r="Q76" s="21"/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t="s">
        <v>35</v>
      </c>
      <c r="K78" s="21">
        <f>IFERROR(solapados_tanda1y2!$P$31*INDEX('z_datos originales'!$C$77:$Q$108,MATCH(limpieza_datos!$C78,'z_datos originales'!$C$77:$C$108,0),MATCH(limpieza_datos!$K$77,'z_datos originales'!$C$77:$Q$77,0)),"")</f>
        <v>0</v>
      </c>
      <c r="L78" s="21">
        <f>IFERROR(solapados_tanda1y2!$P$31*INDEX('z_datos originales'!$C$77:$Q$108,MATCH(limpieza_datos!$C78,'z_datos originales'!$C$77:$C$108,0),MATCH(limpieza_datos!L$77,'z_datos originales'!$C$77:$Q$77,0)),"")</f>
        <v>0</v>
      </c>
      <c r="M78" s="21">
        <f>IFERROR(solapados_tanda1y2!$P$31*INDEX('z_datos originales'!$C$77:$Q$108,MATCH(limpieza_datos!$C78,'z_datos originales'!$C$77:$C$108,0),MATCH(limpieza_datos!M$77,'z_datos originales'!$C$77:$Q$77,0)),"")</f>
        <v>0</v>
      </c>
      <c r="N78" s="21">
        <f>IFERROR(solapados_tanda1y2!$P$31*INDEX('z_datos originales'!$C$77:$Q$108,MATCH(limpieza_datos!$C78,'z_datos originales'!$C$77:$C$108,0),MATCH(limpieza_datos!N$77,'z_datos originales'!$C$77:$Q$77,0)),"")</f>
        <v>0</v>
      </c>
      <c r="O78" s="21">
        <f>IFERROR(solapados_tanda1y2!$P$31*INDEX('z_datos originales'!$C$77:$Q$108,MATCH(limpieza_datos!$C78,'z_datos originales'!$C$77:$C$108,0),MATCH(limpieza_datos!O$77,'z_datos originales'!$C$77:$Q$77,0)),"")</f>
        <v>1107.6923076923078</v>
      </c>
      <c r="P78" s="21">
        <f>IFERROR(solapados_tanda1y2!$P$31*INDEX('z_datos originales'!$C$77:$Q$108,MATCH(limpieza_datos!$C78,'z_datos originales'!$C$77:$C$108,0),MATCH(limpieza_datos!P$77,'z_datos originales'!$C$77:$Q$77,0)),"")</f>
        <v>0</v>
      </c>
      <c r="Q78" s="21">
        <f>IFERROR(solapados_tanda1y2!$P$31*INDEX('z_datos originales'!$C$77:$Q$108,MATCH(limpieza_datos!$C78,'z_datos originales'!$C$77:$C$108,0),MATCH(limpieza_datos!Q$77,'z_datos originales'!$C$77:$Q$77,0)),"")</f>
        <v>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t="s">
        <v>24</v>
      </c>
      <c r="K79" s="21">
        <f>IFERROR(solapados_tanda1y2!$P$31*INDEX('z_datos originales'!$C$77:$Q$108,MATCH(limpieza_datos!$C79,'z_datos originales'!$C$77:$C$108,0),MATCH(limpieza_datos!$K$77,'z_datos originales'!$C$77:$Q$77,0)),"")</f>
        <v>1384.6153846153848</v>
      </c>
      <c r="L79" s="21">
        <f>IFERROR(solapados_tanda1y2!$P$31*INDEX('z_datos originales'!$C$77:$Q$108,MATCH(limpieza_datos!$C79,'z_datos originales'!$C$77:$C$108,0),MATCH(limpieza_datos!L$77,'z_datos originales'!$C$77:$Q$77,0)),"")</f>
        <v>1107.6923076923078</v>
      </c>
      <c r="M79" s="21">
        <f>IFERROR(solapados_tanda1y2!$P$31*INDEX('z_datos originales'!$C$77:$Q$108,MATCH(limpieza_datos!$C79,'z_datos originales'!$C$77:$C$108,0),MATCH(limpieza_datos!M$77,'z_datos originales'!$C$77:$Q$77,0)),"")</f>
        <v>1384.6153846153848</v>
      </c>
      <c r="N79" s="21">
        <f>IFERROR(solapados_tanda1y2!$P$31*INDEX('z_datos originales'!$C$77:$Q$108,MATCH(limpieza_datos!$C79,'z_datos originales'!$C$77:$C$108,0),MATCH(limpieza_datos!N$77,'z_datos originales'!$C$77:$Q$77,0)),"")</f>
        <v>1384.6153846153848</v>
      </c>
      <c r="O79" s="21">
        <f>IFERROR(solapados_tanda1y2!$P$31*INDEX('z_datos originales'!$C$77:$Q$108,MATCH(limpieza_datos!$C79,'z_datos originales'!$C$77:$C$108,0),MATCH(limpieza_datos!O$77,'z_datos originales'!$C$77:$Q$77,0)),"")</f>
        <v>0</v>
      </c>
      <c r="P79" s="21">
        <f>IFERROR(solapados_tanda1y2!$P$31*INDEX('z_datos originales'!$C$77:$Q$108,MATCH(limpieza_datos!$C79,'z_datos originales'!$C$77:$C$108,0),MATCH(limpieza_datos!P$77,'z_datos originales'!$C$77:$Q$77,0)),"")</f>
        <v>1661.5384615384617</v>
      </c>
      <c r="Q79" s="21">
        <f>IFERROR(solapados_tanda1y2!$P$31*INDEX('z_datos originales'!$C$77:$Q$108,MATCH(limpieza_datos!$C79,'z_datos originales'!$C$77:$C$108,0),MATCH(limpieza_datos!Q$77,'z_datos originales'!$C$77:$Q$77,0)),"")</f>
        <v>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t="s">
        <v>21</v>
      </c>
      <c r="K80" s="21">
        <f>IFERROR(solapados_tanda1y2!$P$31*INDEX('z_datos originales'!$C$77:$Q$108,MATCH(limpieza_datos!$C80,'z_datos originales'!$C$77:$C$108,0),MATCH(limpieza_datos!$K$77,'z_datos originales'!$C$77:$Q$77,0)),"")</f>
        <v>0</v>
      </c>
      <c r="L80" s="21">
        <f>IFERROR(solapados_tanda1y2!$P$31*INDEX('z_datos originales'!$C$77:$Q$108,MATCH(limpieza_datos!$C80,'z_datos originales'!$C$77:$C$108,0),MATCH(limpieza_datos!L$77,'z_datos originales'!$C$77:$Q$77,0)),"")</f>
        <v>0</v>
      </c>
      <c r="M80" s="21">
        <f>IFERROR(solapados_tanda1y2!$P$31*INDEX('z_datos originales'!$C$77:$Q$108,MATCH(limpieza_datos!$C80,'z_datos originales'!$C$77:$C$108,0),MATCH(limpieza_datos!M$77,'z_datos originales'!$C$77:$Q$77,0)),"")</f>
        <v>0</v>
      </c>
      <c r="N80" s="21">
        <f>IFERROR(solapados_tanda1y2!$P$31*INDEX('z_datos originales'!$C$77:$Q$108,MATCH(limpieza_datos!$C80,'z_datos originales'!$C$77:$C$108,0),MATCH(limpieza_datos!N$77,'z_datos originales'!$C$77:$Q$77,0)),"")</f>
        <v>0</v>
      </c>
      <c r="O80" s="21">
        <f>IFERROR(solapados_tanda1y2!$P$31*INDEX('z_datos originales'!$C$77:$Q$108,MATCH(limpieza_datos!$C80,'z_datos originales'!$C$77:$C$108,0),MATCH(limpieza_datos!O$77,'z_datos originales'!$C$77:$Q$77,0)),"")</f>
        <v>0</v>
      </c>
      <c r="P80" s="21">
        <f>IFERROR(solapados_tanda1y2!$P$31*INDEX('z_datos originales'!$C$77:$Q$108,MATCH(limpieza_datos!$C80,'z_datos originales'!$C$77:$C$108,0),MATCH(limpieza_datos!P$77,'z_datos originales'!$C$77:$Q$77,0)),"")</f>
        <v>0</v>
      </c>
      <c r="Q80" s="21">
        <f>IFERROR(solapados_tanda1y2!$P$31*INDEX('z_datos originales'!$C$77:$Q$108,MATCH(limpieza_datos!$C80,'z_datos originales'!$C$77:$C$108,0),MATCH(limpieza_datos!Q$77,'z_datos originales'!$C$77:$Q$77,0)),"")</f>
        <v>12830.769230769232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t="s">
        <v>66</v>
      </c>
      <c r="K81" s="21">
        <f>IFERROR(solapados_tanda1y2!$P$31*INDEX('z_datos originales'!$C$77:$Q$108,MATCH(limpieza_datos!$C81,'z_datos originales'!$C$77:$C$108,0),MATCH(limpieza_datos!$K$77,'z_datos originales'!$C$77:$Q$77,0)),"")</f>
        <v>0</v>
      </c>
      <c r="L81" s="21">
        <f>IFERROR(solapados_tanda1y2!$P$31*INDEX('z_datos originales'!$C$77:$Q$108,MATCH(limpieza_datos!$C81,'z_datos originales'!$C$77:$C$108,0),MATCH(limpieza_datos!L$77,'z_datos originales'!$C$77:$Q$77,0)),"")</f>
        <v>0</v>
      </c>
      <c r="M81" s="21">
        <f>IFERROR(solapados_tanda1y2!$P$31*INDEX('z_datos originales'!$C$77:$Q$108,MATCH(limpieza_datos!$C81,'z_datos originales'!$C$77:$C$108,0),MATCH(limpieza_datos!M$77,'z_datos originales'!$C$77:$Q$77,0)),"")</f>
        <v>0</v>
      </c>
      <c r="N81" s="21">
        <f>IFERROR(solapados_tanda1y2!$P$31*INDEX('z_datos originales'!$C$77:$Q$108,MATCH(limpieza_datos!$C81,'z_datos originales'!$C$77:$C$108,0),MATCH(limpieza_datos!N$77,'z_datos originales'!$C$77:$Q$77,0)),"")</f>
        <v>0</v>
      </c>
      <c r="O81" s="21">
        <f>IFERROR(solapados_tanda1y2!$P$31*INDEX('z_datos originales'!$C$77:$Q$108,MATCH(limpieza_datos!$C81,'z_datos originales'!$C$77:$C$108,0),MATCH(limpieza_datos!O$77,'z_datos originales'!$C$77:$Q$77,0)),"")</f>
        <v>0</v>
      </c>
      <c r="P81" s="21">
        <f>IFERROR(solapados_tanda1y2!$P$31*INDEX('z_datos originales'!$C$77:$Q$108,MATCH(limpieza_datos!$C81,'z_datos originales'!$C$77:$C$108,0),MATCH(limpieza_datos!P$77,'z_datos originales'!$C$77:$Q$77,0)),"")</f>
        <v>2769.2307692307695</v>
      </c>
      <c r="Q81" s="21">
        <f>IFERROR(solapados_tanda1y2!$P$31*INDEX('z_datos originales'!$C$77:$Q$108,MATCH(limpieza_datos!$C81,'z_datos originales'!$C$77:$C$108,0),MATCH(limpieza_datos!Q$77,'z_datos originales'!$C$77:$Q$77,0)),"")</f>
        <v>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0.71875</v>
      </c>
      <c r="C82" s="10" t="s">
        <v>341</v>
      </c>
      <c r="D82" s="8" t="s">
        <v>257</v>
      </c>
      <c r="J82" t="s">
        <v>21</v>
      </c>
      <c r="K82" s="21">
        <f>IFERROR(solapados_tanda1y2!$P$31*INDEX('z_datos originales'!$C$77:$Q$108,MATCH(limpieza_datos!$C82,'z_datos originales'!$C$77:$C$108,0),MATCH(limpieza_datos!$K$77,'z_datos originales'!$C$77:$Q$77,0)),"")</f>
        <v>0</v>
      </c>
      <c r="L82" s="21">
        <f>IFERROR(solapados_tanda1y2!$P$31*INDEX('z_datos originales'!$C$77:$Q$108,MATCH(limpieza_datos!$C82,'z_datos originales'!$C$77:$C$108,0),MATCH(limpieza_datos!L$77,'z_datos originales'!$C$77:$Q$77,0)),"")</f>
        <v>0</v>
      </c>
      <c r="M82" s="21">
        <f>IFERROR(solapados_tanda1y2!$P$31*INDEX('z_datos originales'!$C$77:$Q$108,MATCH(limpieza_datos!$C82,'z_datos originales'!$C$77:$C$108,0),MATCH(limpieza_datos!M$77,'z_datos originales'!$C$77:$Q$77,0)),"")</f>
        <v>0</v>
      </c>
      <c r="N82" s="21">
        <f>IFERROR(solapados_tanda1y2!$P$31*INDEX('z_datos originales'!$C$77:$Q$108,MATCH(limpieza_datos!$C82,'z_datos originales'!$C$77:$C$108,0),MATCH(limpieza_datos!N$77,'z_datos originales'!$C$77:$Q$77,0)),"")</f>
        <v>0</v>
      </c>
      <c r="O82" s="21">
        <f>IFERROR(solapados_tanda1y2!$P$31*INDEX('z_datos originales'!$C$77:$Q$108,MATCH(limpieza_datos!$C82,'z_datos originales'!$C$77:$C$108,0),MATCH(limpieza_datos!O$77,'z_datos originales'!$C$77:$Q$77,0)),"")</f>
        <v>0</v>
      </c>
      <c r="P82" s="21">
        <f>IFERROR(solapados_tanda1y2!$P$31*INDEX('z_datos originales'!$C$77:$Q$108,MATCH(limpieza_datos!$C82,'z_datos originales'!$C$77:$C$108,0),MATCH(limpieza_datos!P$77,'z_datos originales'!$C$77:$Q$77,0)),"")</f>
        <v>0</v>
      </c>
      <c r="Q82" s="21">
        <f>IFERROR(solapados_tanda1y2!$P$31*INDEX('z_datos originales'!$C$77:$Q$108,MATCH(limpieza_datos!$C82,'z_datos originales'!$C$77:$C$108,0),MATCH(limpieza_datos!Q$77,'z_datos originales'!$C$77:$Q$77,0)),"")</f>
        <v>12830.769230769232</v>
      </c>
      <c r="V82" t="s">
        <v>25</v>
      </c>
      <c r="W82" t="s">
        <v>25</v>
      </c>
      <c r="X82">
        <v>2</v>
      </c>
      <c r="Y82" t="s">
        <v>311</v>
      </c>
    </row>
    <row r="83" spans="1:25" x14ac:dyDescent="0.4">
      <c r="A83" s="12">
        <v>46002</v>
      </c>
      <c r="B83" s="17">
        <v>0.72152777777777777</v>
      </c>
      <c r="C83" s="10" t="s">
        <v>342</v>
      </c>
      <c r="D83" s="8" t="s">
        <v>260</v>
      </c>
      <c r="J83" t="s">
        <v>20</v>
      </c>
      <c r="K83" s="21">
        <f>IFERROR(solapados_tanda1y2!$P$31*INDEX('z_datos originales'!$C$77:$Q$108,MATCH(limpieza_datos!$C83,'z_datos originales'!$C$77:$C$108,0),MATCH(limpieza_datos!$K$77,'z_datos originales'!$C$77:$Q$77,0)),"")</f>
        <v>1098.4615384615386</v>
      </c>
      <c r="L83" s="21">
        <f>IFERROR(solapados_tanda1y2!$P$31*INDEX('z_datos originales'!$C$77:$Q$108,MATCH(limpieza_datos!$C83,'z_datos originales'!$C$77:$C$108,0),MATCH(limpieza_datos!L$77,'z_datos originales'!$C$77:$Q$77,0)),"")</f>
        <v>900</v>
      </c>
      <c r="M83" s="21">
        <f>IFERROR(solapados_tanda1y2!$P$31*INDEX('z_datos originales'!$C$77:$Q$108,MATCH(limpieza_datos!$C83,'z_datos originales'!$C$77:$C$108,0),MATCH(limpieza_datos!M$77,'z_datos originales'!$C$77:$Q$77,0)),"")</f>
        <v>922.15384615384619</v>
      </c>
      <c r="N83" s="21">
        <f>IFERROR(solapados_tanda1y2!$P$31*INDEX('z_datos originales'!$C$77:$Q$108,MATCH(limpieza_datos!$C83,'z_datos originales'!$C$77:$C$108,0),MATCH(limpieza_datos!N$77,'z_datos originales'!$C$77:$Q$77,0)),"")</f>
        <v>1098.4615384615386</v>
      </c>
      <c r="O83" s="21">
        <f>IFERROR(solapados_tanda1y2!$P$31*INDEX('z_datos originales'!$C$77:$Q$108,MATCH(limpieza_datos!$C83,'z_datos originales'!$C$77:$C$108,0),MATCH(limpieza_datos!O$77,'z_datos originales'!$C$77:$Q$77,0)),"")</f>
        <v>1384.6153846153848</v>
      </c>
      <c r="P83" s="21">
        <f>IFERROR(solapados_tanda1y2!$P$31*INDEX('z_datos originales'!$C$77:$Q$108,MATCH(limpieza_datos!$C83,'z_datos originales'!$C$77:$C$108,0),MATCH(limpieza_datos!P$77,'z_datos originales'!$C$77:$Q$77,0)),"")</f>
        <v>2030.7692307692309</v>
      </c>
      <c r="Q83" s="21">
        <f>IFERROR(solapados_tanda1y2!$P$31*INDEX('z_datos originales'!$C$77:$Q$108,MATCH(limpieza_datos!$C83,'z_datos originales'!$C$77:$C$108,0),MATCH(limpieza_datos!Q$77,'z_datos originales'!$C$77:$Q$77,0)),"")</f>
        <v>12913.846153846154</v>
      </c>
      <c r="V83" t="s">
        <v>25</v>
      </c>
      <c r="W83" t="s">
        <v>25</v>
      </c>
      <c r="X83">
        <v>2</v>
      </c>
      <c r="Y83" t="s">
        <v>312</v>
      </c>
    </row>
    <row r="84" spans="1:25" x14ac:dyDescent="0.4">
      <c r="A84" s="12">
        <v>46002</v>
      </c>
      <c r="B84" s="17">
        <v>0.73750000000000004</v>
      </c>
      <c r="C84" s="10" t="s">
        <v>343</v>
      </c>
      <c r="D84" s="8" t="s">
        <v>262</v>
      </c>
      <c r="J84" t="s">
        <v>35</v>
      </c>
      <c r="K84" s="21">
        <f>IFERROR(solapados_tanda1y2!$P$31*INDEX('z_datos originales'!$C$77:$Q$108,MATCH(limpieza_datos!$C84,'z_datos originales'!$C$77:$C$108,0),MATCH(limpieza_datos!$K$77,'z_datos originales'!$C$77:$Q$77,0)),"")</f>
        <v>0</v>
      </c>
      <c r="L84" s="21">
        <f>IFERROR(solapados_tanda1y2!$P$31*INDEX('z_datos originales'!$C$77:$Q$108,MATCH(limpieza_datos!$C84,'z_datos originales'!$C$77:$C$108,0),MATCH(limpieza_datos!L$77,'z_datos originales'!$C$77:$Q$77,0)),"")</f>
        <v>0</v>
      </c>
      <c r="M84" s="21">
        <f>IFERROR(solapados_tanda1y2!$P$31*INDEX('z_datos originales'!$C$77:$Q$108,MATCH(limpieza_datos!$C84,'z_datos originales'!$C$77:$C$108,0),MATCH(limpieza_datos!M$77,'z_datos originales'!$C$77:$Q$77,0)),"")</f>
        <v>0</v>
      </c>
      <c r="N84" s="21">
        <f>IFERROR(solapados_tanda1y2!$P$31*INDEX('z_datos originales'!$C$77:$Q$108,MATCH(limpieza_datos!$C84,'z_datos originales'!$C$77:$C$108,0),MATCH(limpieza_datos!N$77,'z_datos originales'!$C$77:$Q$77,0)),"")</f>
        <v>0</v>
      </c>
      <c r="O84" s="21">
        <f>IFERROR(solapados_tanda1y2!$P$31*INDEX('z_datos originales'!$C$77:$Q$108,MATCH(limpieza_datos!$C84,'z_datos originales'!$C$77:$C$108,0),MATCH(limpieza_datos!O$77,'z_datos originales'!$C$77:$Q$77,0)),"")</f>
        <v>923.07692307692309</v>
      </c>
      <c r="P84" s="21">
        <f>IFERROR(solapados_tanda1y2!$P$31*INDEX('z_datos originales'!$C$77:$Q$108,MATCH(limpieza_datos!$C84,'z_datos originales'!$C$77:$C$108,0),MATCH(limpieza_datos!P$77,'z_datos originales'!$C$77:$Q$77,0)),"")</f>
        <v>0</v>
      </c>
      <c r="Q84" s="21">
        <f>IFERROR(solapados_tanda1y2!$P$31*INDEX('z_datos originales'!$C$77:$Q$108,MATCH(limpieza_datos!$C84,'z_datos originales'!$C$77:$C$108,0),MATCH(limpieza_datos!Q$77,'z_datos originales'!$C$77:$Q$77,0)),"")</f>
        <v>0</v>
      </c>
      <c r="V84" t="s">
        <v>26</v>
      </c>
      <c r="W84" t="s">
        <v>25</v>
      </c>
      <c r="X84">
        <v>2</v>
      </c>
      <c r="Y84" t="s">
        <v>313</v>
      </c>
    </row>
    <row r="85" spans="1:25" x14ac:dyDescent="0.4">
      <c r="A85" s="12">
        <v>46002</v>
      </c>
      <c r="B85" s="17">
        <v>0.73819444444444449</v>
      </c>
      <c r="C85" s="10" t="s">
        <v>344</v>
      </c>
      <c r="D85" s="8" t="s">
        <v>264</v>
      </c>
      <c r="J85" t="s">
        <v>24</v>
      </c>
      <c r="K85" s="21">
        <f>IFERROR(solapados_tanda1y2!$P$31*INDEX('z_datos originales'!$C$77:$Q$108,MATCH(limpieza_datos!$C85,'z_datos originales'!$C$77:$C$108,0),MATCH(limpieza_datos!$K$77,'z_datos originales'!$C$77:$Q$77,0)),"")</f>
        <v>1753.846153846154</v>
      </c>
      <c r="L85" s="21">
        <f>IFERROR(solapados_tanda1y2!$P$31*INDEX('z_datos originales'!$C$77:$Q$108,MATCH(limpieza_datos!$C85,'z_datos originales'!$C$77:$C$108,0),MATCH(limpieza_datos!L$77,'z_datos originales'!$C$77:$Q$77,0)),"")</f>
        <v>1107.6923076923078</v>
      </c>
      <c r="M85" s="21">
        <f>IFERROR(solapados_tanda1y2!$P$31*INDEX('z_datos originales'!$C$77:$Q$108,MATCH(limpieza_datos!$C85,'z_datos originales'!$C$77:$C$108,0),MATCH(limpieza_datos!M$77,'z_datos originales'!$C$77:$Q$77,0)),"")</f>
        <v>1661.5384615384617</v>
      </c>
      <c r="N85" s="21">
        <f>IFERROR(solapados_tanda1y2!$P$31*INDEX('z_datos originales'!$C$77:$Q$108,MATCH(limpieza_datos!$C85,'z_datos originales'!$C$77:$C$108,0),MATCH(limpieza_datos!N$77,'z_datos originales'!$C$77:$Q$77,0)),"")</f>
        <v>2769.2307692307695</v>
      </c>
      <c r="O85" s="21">
        <f>IFERROR(solapados_tanda1y2!$P$31*INDEX('z_datos originales'!$C$77:$Q$108,MATCH(limpieza_datos!$C85,'z_datos originales'!$C$77:$C$108,0),MATCH(limpieza_datos!O$77,'z_datos originales'!$C$77:$Q$77,0)),"")</f>
        <v>0</v>
      </c>
      <c r="P85" s="21">
        <f>IFERROR(solapados_tanda1y2!$P$31*INDEX('z_datos originales'!$C$77:$Q$108,MATCH(limpieza_datos!$C85,'z_datos originales'!$C$77:$C$108,0),MATCH(limpieza_datos!P$77,'z_datos originales'!$C$77:$Q$77,0)),"")</f>
        <v>0</v>
      </c>
      <c r="Q85" s="21">
        <f>IFERROR(solapados_tanda1y2!$P$31*INDEX('z_datos originales'!$C$77:$Q$108,MATCH(limpieza_datos!$C85,'z_datos originales'!$C$77:$C$108,0),MATCH(limpieza_datos!Q$77,'z_datos originales'!$C$77:$Q$77,0)),"")</f>
        <v>9230.7692307692305</v>
      </c>
      <c r="V85" t="s">
        <v>26</v>
      </c>
      <c r="W85" t="s">
        <v>25</v>
      </c>
      <c r="X85">
        <v>2</v>
      </c>
      <c r="Y85" t="s">
        <v>314</v>
      </c>
    </row>
    <row r="86" spans="1:25" x14ac:dyDescent="0.4">
      <c r="A86" s="12">
        <v>46002</v>
      </c>
      <c r="B86" s="17">
        <v>0.74097222222222225</v>
      </c>
      <c r="C86" s="10" t="s">
        <v>345</v>
      </c>
      <c r="D86" s="8" t="s">
        <v>266</v>
      </c>
      <c r="J86" t="s">
        <v>69</v>
      </c>
      <c r="K86" s="21">
        <f>IFERROR(solapados_tanda1y2!$P$31*INDEX('z_datos originales'!$C$77:$Q$108,MATCH(limpieza_datos!$C86,'z_datos originales'!$C$77:$C$108,0),MATCH(limpieza_datos!$K$77,'z_datos originales'!$C$77:$Q$77,0)),"")</f>
        <v>1098.4615384615386</v>
      </c>
      <c r="L86" s="21">
        <f>IFERROR(solapados_tanda1y2!$P$31*INDEX('z_datos originales'!$C$77:$Q$108,MATCH(limpieza_datos!$C86,'z_datos originales'!$C$77:$C$108,0),MATCH(limpieza_datos!L$77,'z_datos originales'!$C$77:$Q$77,0)),"")</f>
        <v>900</v>
      </c>
      <c r="M86" s="21">
        <f>IFERROR(solapados_tanda1y2!$P$31*INDEX('z_datos originales'!$C$77:$Q$108,MATCH(limpieza_datos!$C86,'z_datos originales'!$C$77:$C$108,0),MATCH(limpieza_datos!M$77,'z_datos originales'!$C$77:$Q$77,0)),"")</f>
        <v>922.15384615384619</v>
      </c>
      <c r="N86" s="21">
        <f>IFERROR(solapados_tanda1y2!$P$31*INDEX('z_datos originales'!$C$77:$Q$108,MATCH(limpieza_datos!$C86,'z_datos originales'!$C$77:$C$108,0),MATCH(limpieza_datos!N$77,'z_datos originales'!$C$77:$Q$77,0)),"")</f>
        <v>1098.4615384615386</v>
      </c>
      <c r="O86" s="21">
        <f>IFERROR(solapados_tanda1y2!$P$31*INDEX('z_datos originales'!$C$77:$Q$108,MATCH(limpieza_datos!$C86,'z_datos originales'!$C$77:$C$108,0),MATCH(limpieza_datos!O$77,'z_datos originales'!$C$77:$Q$77,0)),"")</f>
        <v>1384.6153846153848</v>
      </c>
      <c r="P86" s="21">
        <f>IFERROR(solapados_tanda1y2!$P$31*INDEX('z_datos originales'!$C$77:$Q$108,MATCH(limpieza_datos!$C86,'z_datos originales'!$C$77:$C$108,0),MATCH(limpieza_datos!P$77,'z_datos originales'!$C$77:$Q$77,0)),"")</f>
        <v>2030.7692307692309</v>
      </c>
      <c r="Q86" s="21">
        <f>IFERROR(solapados_tanda1y2!$P$31*INDEX('z_datos originales'!$C$77:$Q$108,MATCH(limpieza_datos!$C86,'z_datos originales'!$C$77:$C$108,0),MATCH(limpieza_datos!Q$77,'z_datos originales'!$C$77:$Q$77,0)),"")</f>
        <v>12913.846153846154</v>
      </c>
      <c r="V86" t="s">
        <v>25</v>
      </c>
      <c r="W86" t="s">
        <v>25</v>
      </c>
      <c r="X86">
        <v>2</v>
      </c>
      <c r="Y86" t="s">
        <v>315</v>
      </c>
    </row>
    <row r="87" spans="1:25" x14ac:dyDescent="0.4">
      <c r="A87" s="12">
        <v>46002</v>
      </c>
      <c r="B87" s="17">
        <v>0.76111111111111107</v>
      </c>
      <c r="C87" s="10" t="s">
        <v>347</v>
      </c>
      <c r="D87" s="8" t="s">
        <v>270</v>
      </c>
      <c r="J87" t="s">
        <v>47</v>
      </c>
      <c r="K87" s="21">
        <f>IFERROR(solapados_tanda1y2!$P$31*INDEX('z_datos originales'!$C$77:$Q$108,MATCH(limpieza_datos!$C87,'z_datos originales'!$C$77:$C$108,0),MATCH(limpieza_datos!$K$77,'z_datos originales'!$C$77:$Q$77,0)),"")</f>
        <v>2030.7692307692309</v>
      </c>
      <c r="L87" s="21">
        <f>IFERROR(solapados_tanda1y2!$P$31*INDEX('z_datos originales'!$C$77:$Q$108,MATCH(limpieza_datos!$C87,'z_datos originales'!$C$77:$C$108,0),MATCH(limpieza_datos!L$77,'z_datos originales'!$C$77:$Q$77,0)),"")</f>
        <v>2030.7692307692309</v>
      </c>
      <c r="M87" s="21">
        <f>IFERROR(solapados_tanda1y2!$P$31*INDEX('z_datos originales'!$C$77:$Q$108,MATCH(limpieza_datos!$C87,'z_datos originales'!$C$77:$C$108,0),MATCH(limpieza_datos!M$77,'z_datos originales'!$C$77:$Q$77,0)),"")</f>
        <v>1846.1538461538462</v>
      </c>
      <c r="N87" s="21">
        <f>IFERROR(solapados_tanda1y2!$P$31*INDEX('z_datos originales'!$C$77:$Q$108,MATCH(limpieza_datos!$C87,'z_datos originales'!$C$77:$C$108,0),MATCH(limpieza_datos!N$77,'z_datos originales'!$C$77:$Q$77,0)),"")</f>
        <v>0</v>
      </c>
      <c r="O87" s="21">
        <f>IFERROR(solapados_tanda1y2!$P$31*INDEX('z_datos originales'!$C$77:$Q$108,MATCH(limpieza_datos!$C87,'z_datos originales'!$C$77:$C$108,0),MATCH(limpieza_datos!O$77,'z_datos originales'!$C$77:$Q$77,0)),"")</f>
        <v>1846.1538461538462</v>
      </c>
      <c r="P87" s="21">
        <f>IFERROR(solapados_tanda1y2!$P$31*INDEX('z_datos originales'!$C$77:$Q$108,MATCH(limpieza_datos!$C87,'z_datos originales'!$C$77:$C$108,0),MATCH(limpieza_datos!P$77,'z_datos originales'!$C$77:$Q$77,0)),"")</f>
        <v>0</v>
      </c>
      <c r="Q87" s="21">
        <f>IFERROR(solapados_tanda1y2!$P$31*INDEX('z_datos originales'!$C$77:$Q$108,MATCH(limpieza_datos!$C87,'z_datos originales'!$C$77:$C$108,0),MATCH(limpieza_datos!Q$77,'z_datos originales'!$C$77:$Q$77,0)),"")</f>
        <v>0</v>
      </c>
      <c r="V87" t="s">
        <v>26</v>
      </c>
      <c r="W87" t="s">
        <v>25</v>
      </c>
      <c r="X87">
        <v>2</v>
      </c>
      <c r="Y87" t="s">
        <v>317</v>
      </c>
    </row>
    <row r="88" spans="1:25" x14ac:dyDescent="0.4">
      <c r="A88" s="12">
        <v>46002</v>
      </c>
      <c r="B88" s="17">
        <v>0.7631944444444444</v>
      </c>
      <c r="C88" s="10" t="s">
        <v>348</v>
      </c>
      <c r="D88" s="8" t="s">
        <v>272</v>
      </c>
      <c r="J88" t="s">
        <v>24</v>
      </c>
      <c r="K88" s="21">
        <f>IFERROR(solapados_tanda1y2!$P$31*INDEX('z_datos originales'!$C$77:$Q$108,MATCH(limpieza_datos!$C88,'z_datos originales'!$C$77:$C$108,0),MATCH(limpieza_datos!$K$77,'z_datos originales'!$C$77:$Q$77,0)),"")</f>
        <v>1753.846153846154</v>
      </c>
      <c r="L88" s="21">
        <f>IFERROR(solapados_tanda1y2!$P$31*INDEX('z_datos originales'!$C$77:$Q$108,MATCH(limpieza_datos!$C88,'z_datos originales'!$C$77:$C$108,0),MATCH(limpieza_datos!L$77,'z_datos originales'!$C$77:$Q$77,0)),"")</f>
        <v>1200</v>
      </c>
      <c r="M88" s="21">
        <f>IFERROR(solapados_tanda1y2!$P$31*INDEX('z_datos originales'!$C$77:$Q$108,MATCH(limpieza_datos!$C88,'z_datos originales'!$C$77:$C$108,0),MATCH(limpieza_datos!M$77,'z_datos originales'!$C$77:$Q$77,0)),"")</f>
        <v>1384.6153846153848</v>
      </c>
      <c r="N88" s="21">
        <f>IFERROR(solapados_tanda1y2!$P$31*INDEX('z_datos originales'!$C$77:$Q$108,MATCH(limpieza_datos!$C88,'z_datos originales'!$C$77:$C$108,0),MATCH(limpieza_datos!N$77,'z_datos originales'!$C$77:$Q$77,0)),"")</f>
        <v>2584.6153846153848</v>
      </c>
      <c r="O88" s="21">
        <f>IFERROR(solapados_tanda1y2!$P$31*INDEX('z_datos originales'!$C$77:$Q$108,MATCH(limpieza_datos!$C88,'z_datos originales'!$C$77:$C$108,0),MATCH(limpieza_datos!O$77,'z_datos originales'!$C$77:$Q$77,0)),"")</f>
        <v>1384.6153846153848</v>
      </c>
      <c r="P88" s="21">
        <f>IFERROR(solapados_tanda1y2!$P$31*INDEX('z_datos originales'!$C$77:$Q$108,MATCH(limpieza_datos!$C88,'z_datos originales'!$C$77:$C$108,0),MATCH(limpieza_datos!P$77,'z_datos originales'!$C$77:$Q$77,0)),"")</f>
        <v>1384.6153846153848</v>
      </c>
      <c r="Q88" s="21">
        <f>IFERROR(solapados_tanda1y2!$P$31*INDEX('z_datos originales'!$C$77:$Q$108,MATCH(limpieza_datos!$C88,'z_datos originales'!$C$77:$C$108,0),MATCH(limpieza_datos!Q$77,'z_datos originales'!$C$77:$Q$77,0)),"")</f>
        <v>0</v>
      </c>
      <c r="V88" t="s">
        <v>26</v>
      </c>
      <c r="W88" t="s">
        <v>25</v>
      </c>
      <c r="X88">
        <v>2</v>
      </c>
      <c r="Y88" t="s">
        <v>318</v>
      </c>
    </row>
    <row r="89" spans="1:25" x14ac:dyDescent="0.4">
      <c r="A89" s="12">
        <v>46002</v>
      </c>
      <c r="B89" s="17">
        <v>0.77986111111111112</v>
      </c>
      <c r="C89" s="10" t="s">
        <v>350</v>
      </c>
      <c r="D89" s="8" t="s">
        <v>276</v>
      </c>
      <c r="J89" t="s">
        <v>47</v>
      </c>
      <c r="K89" s="21">
        <f>IFERROR(solapados_tanda1y2!$P$31*INDEX('z_datos originales'!$C$77:$Q$108,MATCH(limpieza_datos!$C89,'z_datos originales'!$C$77:$C$108,0),MATCH(limpieza_datos!$K$77,'z_datos originales'!$C$77:$Q$77,0)),"")</f>
        <v>0</v>
      </c>
      <c r="L89" s="21">
        <f>IFERROR(solapados_tanda1y2!$P$31*INDEX('z_datos originales'!$C$77:$Q$108,MATCH(limpieza_datos!$C89,'z_datos originales'!$C$77:$C$108,0),MATCH(limpieza_datos!L$77,'z_datos originales'!$C$77:$Q$77,0)),"")</f>
        <v>0</v>
      </c>
      <c r="M89" s="21">
        <f>IFERROR(solapados_tanda1y2!$P$31*INDEX('z_datos originales'!$C$77:$Q$108,MATCH(limpieza_datos!$C89,'z_datos originales'!$C$77:$C$108,0),MATCH(limpieza_datos!M$77,'z_datos originales'!$C$77:$Q$77,0)),"")</f>
        <v>1476.9230769230769</v>
      </c>
      <c r="N89" s="21">
        <f>IFERROR(solapados_tanda1y2!$P$31*INDEX('z_datos originales'!$C$77:$Q$108,MATCH(limpieza_datos!$C89,'z_datos originales'!$C$77:$C$108,0),MATCH(limpieza_datos!N$77,'z_datos originales'!$C$77:$Q$77,0)),"")</f>
        <v>3692.3076923076924</v>
      </c>
      <c r="O89" s="21">
        <f>IFERROR(solapados_tanda1y2!$P$31*INDEX('z_datos originales'!$C$77:$Q$108,MATCH(limpieza_datos!$C89,'z_datos originales'!$C$77:$C$108,0),MATCH(limpieza_datos!O$77,'z_datos originales'!$C$77:$Q$77,0)),"")</f>
        <v>1384.6153846153848</v>
      </c>
      <c r="P89" s="21">
        <f>IFERROR(solapados_tanda1y2!$P$31*INDEX('z_datos originales'!$C$77:$Q$108,MATCH(limpieza_datos!$C89,'z_datos originales'!$C$77:$C$108,0),MATCH(limpieza_datos!P$77,'z_datos originales'!$C$77:$Q$77,0)),"")</f>
        <v>0</v>
      </c>
      <c r="Q89" s="21">
        <f>IFERROR(solapados_tanda1y2!$P$31*INDEX('z_datos originales'!$C$77:$Q$108,MATCH(limpieza_datos!$C89,'z_datos originales'!$C$77:$C$108,0),MATCH(limpieza_datos!Q$77,'z_datos originales'!$C$77:$Q$77,0)),"")</f>
        <v>0</v>
      </c>
      <c r="V89" t="s">
        <v>26</v>
      </c>
      <c r="W89" t="s">
        <v>25</v>
      </c>
      <c r="X89">
        <v>2</v>
      </c>
      <c r="Y89" t="s">
        <v>320</v>
      </c>
    </row>
    <row r="90" spans="1:25" x14ac:dyDescent="0.4">
      <c r="A90" s="12">
        <v>46002</v>
      </c>
      <c r="B90" s="17">
        <v>0.79027777777777775</v>
      </c>
      <c r="C90" s="10" t="s">
        <v>353</v>
      </c>
      <c r="D90" s="8" t="s">
        <v>282</v>
      </c>
      <c r="J90" t="s">
        <v>20</v>
      </c>
      <c r="K90" s="21">
        <f>IFERROR(solapados_tanda1y2!$P$31*INDEX('z_datos originales'!$C$77:$Q$108,MATCH(limpieza_datos!$C90,'z_datos originales'!$C$77:$C$108,0),MATCH(limpieza_datos!$K$77,'z_datos originales'!$C$77:$Q$77,0)),"")</f>
        <v>1098.4615384615386</v>
      </c>
      <c r="L90" s="21">
        <f>IFERROR(solapados_tanda1y2!$P$31*INDEX('z_datos originales'!$C$77:$Q$108,MATCH(limpieza_datos!$C90,'z_datos originales'!$C$77:$C$108,0),MATCH(limpieza_datos!L$77,'z_datos originales'!$C$77:$Q$77,0)),"")</f>
        <v>900</v>
      </c>
      <c r="M90" s="21">
        <f>IFERROR(solapados_tanda1y2!$P$31*INDEX('z_datos originales'!$C$77:$Q$108,MATCH(limpieza_datos!$C90,'z_datos originales'!$C$77:$C$108,0),MATCH(limpieza_datos!M$77,'z_datos originales'!$C$77:$Q$77,0)),"")</f>
        <v>922.15384615384619</v>
      </c>
      <c r="N90" s="21">
        <f>IFERROR(solapados_tanda1y2!$P$31*INDEX('z_datos originales'!$C$77:$Q$108,MATCH(limpieza_datos!$C90,'z_datos originales'!$C$77:$C$108,0),MATCH(limpieza_datos!N$77,'z_datos originales'!$C$77:$Q$77,0)),"")</f>
        <v>1098.4615384615386</v>
      </c>
      <c r="O90" s="21">
        <f>IFERROR(solapados_tanda1y2!$P$31*INDEX('z_datos originales'!$C$77:$Q$108,MATCH(limpieza_datos!$C90,'z_datos originales'!$C$77:$C$108,0),MATCH(limpieza_datos!O$77,'z_datos originales'!$C$77:$Q$77,0)),"")</f>
        <v>1384.6153846153848</v>
      </c>
      <c r="P90" s="21">
        <f>IFERROR(solapados_tanda1y2!$P$31*INDEX('z_datos originales'!$C$77:$Q$108,MATCH(limpieza_datos!$C90,'z_datos originales'!$C$77:$C$108,0),MATCH(limpieza_datos!P$77,'z_datos originales'!$C$77:$Q$77,0)),"")</f>
        <v>2030.7692307692309</v>
      </c>
      <c r="Q90" s="21">
        <f>IFERROR(solapados_tanda1y2!$P$31*INDEX('z_datos originales'!$C$77:$Q$108,MATCH(limpieza_datos!$C90,'z_datos originales'!$C$77:$C$108,0),MATCH(limpieza_datos!Q$77,'z_datos originales'!$C$77:$Q$77,0)),"")</f>
        <v>12913.846153846154</v>
      </c>
      <c r="V90" t="s">
        <v>25</v>
      </c>
      <c r="W90" t="s">
        <v>25</v>
      </c>
      <c r="X90">
        <v>2</v>
      </c>
      <c r="Y90" t="s">
        <v>323</v>
      </c>
    </row>
    <row r="91" spans="1:25" x14ac:dyDescent="0.4">
      <c r="A91" s="12">
        <v>46002</v>
      </c>
      <c r="B91" s="17">
        <v>0.8</v>
      </c>
      <c r="C91" s="10" t="s">
        <v>354</v>
      </c>
      <c r="D91" s="8" t="s">
        <v>284</v>
      </c>
      <c r="J91" t="s">
        <v>47</v>
      </c>
      <c r="K91" s="21">
        <f>IFERROR(solapados_tanda1y2!$P$31*INDEX('z_datos originales'!$C$77:$Q$108,MATCH(limpieza_datos!$C91,'z_datos originales'!$C$77:$C$108,0),MATCH(limpieza_datos!$K$77,'z_datos originales'!$C$77:$Q$77,0)),"")</f>
        <v>0</v>
      </c>
      <c r="L91" s="21">
        <f>IFERROR(solapados_tanda1y2!$P$31*INDEX('z_datos originales'!$C$77:$Q$108,MATCH(limpieza_datos!$C91,'z_datos originales'!$C$77:$C$108,0),MATCH(limpieza_datos!L$77,'z_datos originales'!$C$77:$Q$77,0)),"")</f>
        <v>830.76923076923083</v>
      </c>
      <c r="M91" s="21">
        <f>IFERROR(solapados_tanda1y2!$P$31*INDEX('z_datos originales'!$C$77:$Q$108,MATCH(limpieza_datos!$C91,'z_datos originales'!$C$77:$C$108,0),MATCH(limpieza_datos!M$77,'z_datos originales'!$C$77:$Q$77,0)),"")</f>
        <v>1661.5384615384617</v>
      </c>
      <c r="N91" s="21">
        <f>IFERROR(solapados_tanda1y2!$P$31*INDEX('z_datos originales'!$C$77:$Q$108,MATCH(limpieza_datos!$C91,'z_datos originales'!$C$77:$C$108,0),MATCH(limpieza_datos!N$77,'z_datos originales'!$C$77:$Q$77,0)),"")</f>
        <v>0</v>
      </c>
      <c r="O91" s="21">
        <f>IFERROR(solapados_tanda1y2!$P$31*INDEX('z_datos originales'!$C$77:$Q$108,MATCH(limpieza_datos!$C91,'z_datos originales'!$C$77:$C$108,0),MATCH(limpieza_datos!O$77,'z_datos originales'!$C$77:$Q$77,0)),"")</f>
        <v>1384.6153846153848</v>
      </c>
      <c r="P91" s="21">
        <f>IFERROR(solapados_tanda1y2!$P$31*INDEX('z_datos originales'!$C$77:$Q$108,MATCH(limpieza_datos!$C91,'z_datos originales'!$C$77:$C$108,0),MATCH(limpieza_datos!P$77,'z_datos originales'!$C$77:$Q$77,0)),"")</f>
        <v>0</v>
      </c>
      <c r="Q91" s="21">
        <f>IFERROR(solapados_tanda1y2!$P$31*INDEX('z_datos originales'!$C$77:$Q$108,MATCH(limpieza_datos!$C91,'z_datos originales'!$C$77:$C$108,0),MATCH(limpieza_datos!Q$77,'z_datos originales'!$C$77:$Q$77,0)),"")</f>
        <v>0</v>
      </c>
      <c r="V91" t="s">
        <v>26</v>
      </c>
      <c r="W91" t="s">
        <v>25</v>
      </c>
      <c r="X91">
        <v>2</v>
      </c>
      <c r="Y91" t="s">
        <v>324</v>
      </c>
    </row>
    <row r="92" spans="1:25" x14ac:dyDescent="0.4">
      <c r="A92" s="12">
        <v>46002</v>
      </c>
      <c r="B92" s="17">
        <v>0.80972222222222223</v>
      </c>
      <c r="C92" s="10" t="s">
        <v>356</v>
      </c>
      <c r="D92" s="8" t="s">
        <v>288</v>
      </c>
      <c r="J92" t="s">
        <v>24</v>
      </c>
      <c r="K92" s="21">
        <f>IFERROR(solapados_tanda1y2!$P$31*INDEX('z_datos originales'!$C$77:$Q$108,MATCH(limpieza_datos!$C92,'z_datos originales'!$C$77:$C$108,0),MATCH(limpieza_datos!$K$77,'z_datos originales'!$C$77:$Q$77,0)),"")</f>
        <v>0</v>
      </c>
      <c r="L92" s="21">
        <f>IFERROR(solapados_tanda1y2!$P$31*INDEX('z_datos originales'!$C$77:$Q$108,MATCH(limpieza_datos!$C92,'z_datos originales'!$C$77:$C$108,0),MATCH(limpieza_datos!L$77,'z_datos originales'!$C$77:$Q$77,0)),"")</f>
        <v>1200</v>
      </c>
      <c r="M92" s="21">
        <f>IFERROR(solapados_tanda1y2!$P$31*INDEX('z_datos originales'!$C$77:$Q$108,MATCH(limpieza_datos!$C92,'z_datos originales'!$C$77:$C$108,0),MATCH(limpieza_datos!M$77,'z_datos originales'!$C$77:$Q$77,0)),"")</f>
        <v>1384.6153846153848</v>
      </c>
      <c r="N92" s="21">
        <f>IFERROR(solapados_tanda1y2!$P$31*INDEX('z_datos originales'!$C$77:$Q$108,MATCH(limpieza_datos!$C92,'z_datos originales'!$C$77:$C$108,0),MATCH(limpieza_datos!N$77,'z_datos originales'!$C$77:$Q$77,0)),"")</f>
        <v>0</v>
      </c>
      <c r="O92" s="21">
        <f>IFERROR(solapados_tanda1y2!$P$31*INDEX('z_datos originales'!$C$77:$Q$108,MATCH(limpieza_datos!$C92,'z_datos originales'!$C$77:$C$108,0),MATCH(limpieza_datos!O$77,'z_datos originales'!$C$77:$Q$77,0)),"")</f>
        <v>0</v>
      </c>
      <c r="P92" s="21">
        <f>IFERROR(solapados_tanda1y2!$P$31*INDEX('z_datos originales'!$C$77:$Q$108,MATCH(limpieza_datos!$C92,'z_datos originales'!$C$77:$C$108,0),MATCH(limpieza_datos!P$77,'z_datos originales'!$C$77:$Q$77,0)),"")</f>
        <v>0</v>
      </c>
      <c r="Q92" s="21">
        <f>IFERROR(solapados_tanda1y2!$P$31*INDEX('z_datos originales'!$C$77:$Q$108,MATCH(limpieza_datos!$C92,'z_datos originales'!$C$77:$C$108,0),MATCH(limpieza_datos!Q$77,'z_datos originales'!$C$77:$Q$77,0)),"")</f>
        <v>0</v>
      </c>
      <c r="V92" t="s">
        <v>26</v>
      </c>
      <c r="W92" t="s">
        <v>25</v>
      </c>
      <c r="X92">
        <v>2</v>
      </c>
      <c r="Y92" t="s">
        <v>326</v>
      </c>
    </row>
    <row r="93" spans="1:25" x14ac:dyDescent="0.4">
      <c r="A93" s="12">
        <v>46002</v>
      </c>
      <c r="B93" s="17">
        <v>0.81666666666666665</v>
      </c>
      <c r="C93" s="10" t="s">
        <v>357</v>
      </c>
      <c r="D93" s="8" t="s">
        <v>289</v>
      </c>
      <c r="J93" t="s">
        <v>24</v>
      </c>
      <c r="K93" s="21">
        <f>IFERROR(solapados_tanda1y2!$P$31*INDEX('z_datos originales'!$C$77:$Q$108,MATCH(limpieza_datos!$C93,'z_datos originales'!$C$77:$C$108,0),MATCH(limpieza_datos!$K$77,'z_datos originales'!$C$77:$Q$77,0)),"")</f>
        <v>1753.846153846154</v>
      </c>
      <c r="L93" s="21">
        <f>IFERROR(solapados_tanda1y2!$P$31*INDEX('z_datos originales'!$C$77:$Q$108,MATCH(limpieza_datos!$C93,'z_datos originales'!$C$77:$C$108,0),MATCH(limpieza_datos!L$77,'z_datos originales'!$C$77:$Q$77,0)),"")</f>
        <v>1200</v>
      </c>
      <c r="M93" s="21">
        <f>IFERROR(solapados_tanda1y2!$P$31*INDEX('z_datos originales'!$C$77:$Q$108,MATCH(limpieza_datos!$C93,'z_datos originales'!$C$77:$C$108,0),MATCH(limpieza_datos!M$77,'z_datos originales'!$C$77:$Q$77,0)),"")</f>
        <v>1107.6923076923078</v>
      </c>
      <c r="N93" s="21">
        <f>IFERROR(solapados_tanda1y2!$P$31*INDEX('z_datos originales'!$C$77:$Q$108,MATCH(limpieza_datos!$C93,'z_datos originales'!$C$77:$C$108,0),MATCH(limpieza_datos!N$77,'z_datos originales'!$C$77:$Q$77,0)),"")</f>
        <v>1292.3076923076924</v>
      </c>
      <c r="O93" s="21">
        <f>IFERROR(solapados_tanda1y2!$P$31*INDEX('z_datos originales'!$C$77:$Q$108,MATCH(limpieza_datos!$C93,'z_datos originales'!$C$77:$C$108,0),MATCH(limpieza_datos!O$77,'z_datos originales'!$C$77:$Q$77,0)),"")</f>
        <v>0</v>
      </c>
      <c r="P93" s="21">
        <f>IFERROR(solapados_tanda1y2!$P$31*INDEX('z_datos originales'!$C$77:$Q$108,MATCH(limpieza_datos!$C93,'z_datos originales'!$C$77:$C$108,0),MATCH(limpieza_datos!P$77,'z_datos originales'!$C$77:$Q$77,0)),"")</f>
        <v>1366.1538461538462</v>
      </c>
      <c r="Q93" s="21">
        <f>IFERROR(solapados_tanda1y2!$P$31*INDEX('z_datos originales'!$C$77:$Q$108,MATCH(limpieza_datos!$C93,'z_datos originales'!$C$77:$C$108,0),MATCH(limpieza_datos!Q$77,'z_datos originales'!$C$77:$Q$77,0)),"")</f>
        <v>0</v>
      </c>
      <c r="V93" t="s">
        <v>26</v>
      </c>
      <c r="W93" t="s">
        <v>25</v>
      </c>
      <c r="X93">
        <v>2</v>
      </c>
      <c r="Y93" t="s">
        <v>326</v>
      </c>
    </row>
    <row r="94" spans="1:25" x14ac:dyDescent="0.4">
      <c r="A94" s="12">
        <v>46002</v>
      </c>
      <c r="B94" s="17">
        <v>0.82222222222222219</v>
      </c>
      <c r="C94" s="10" t="s">
        <v>358</v>
      </c>
      <c r="D94" s="8" t="s">
        <v>291</v>
      </c>
      <c r="J94" t="s">
        <v>21</v>
      </c>
      <c r="K94" s="21">
        <f>IFERROR(solapados_tanda1y2!$P$31*INDEX('z_datos originales'!$C$77:$Q$108,MATCH(limpieza_datos!$C94,'z_datos originales'!$C$77:$C$108,0),MATCH(limpieza_datos!$K$77,'z_datos originales'!$C$77:$Q$77,0)),"")</f>
        <v>0</v>
      </c>
      <c r="L94" s="21">
        <f>IFERROR(solapados_tanda1y2!$P$31*INDEX('z_datos originales'!$C$77:$Q$108,MATCH(limpieza_datos!$C94,'z_datos originales'!$C$77:$C$108,0),MATCH(limpieza_datos!L$77,'z_datos originales'!$C$77:$Q$77,0)),"")</f>
        <v>0</v>
      </c>
      <c r="M94" s="21">
        <f>IFERROR(solapados_tanda1y2!$P$31*INDEX('z_datos originales'!$C$77:$Q$108,MATCH(limpieza_datos!$C94,'z_datos originales'!$C$77:$C$108,0),MATCH(limpieza_datos!M$77,'z_datos originales'!$C$77:$Q$77,0)),"")</f>
        <v>0</v>
      </c>
      <c r="N94" s="21">
        <f>IFERROR(solapados_tanda1y2!$P$31*INDEX('z_datos originales'!$C$77:$Q$108,MATCH(limpieza_datos!$C94,'z_datos originales'!$C$77:$C$108,0),MATCH(limpieza_datos!N$77,'z_datos originales'!$C$77:$Q$77,0)),"")</f>
        <v>0</v>
      </c>
      <c r="O94" s="21">
        <f>IFERROR(solapados_tanda1y2!$P$31*INDEX('z_datos originales'!$C$77:$Q$108,MATCH(limpieza_datos!$C94,'z_datos originales'!$C$77:$C$108,0),MATCH(limpieza_datos!O$77,'z_datos originales'!$C$77:$Q$77,0)),"")</f>
        <v>0</v>
      </c>
      <c r="P94" s="21">
        <f>IFERROR(solapados_tanda1y2!$P$31*INDEX('z_datos originales'!$C$77:$Q$108,MATCH(limpieza_datos!$C94,'z_datos originales'!$C$77:$C$108,0),MATCH(limpieza_datos!P$77,'z_datos originales'!$C$77:$Q$77,0)),"")</f>
        <v>0</v>
      </c>
      <c r="Q94" s="21">
        <f>IFERROR(solapados_tanda1y2!$P$31*INDEX('z_datos originales'!$C$77:$Q$108,MATCH(limpieza_datos!$C94,'z_datos originales'!$C$77:$C$108,0),MATCH(limpieza_datos!Q$77,'z_datos originales'!$C$77:$Q$77,0)),"")</f>
        <v>12830.769230769232</v>
      </c>
      <c r="V94" t="s">
        <v>25</v>
      </c>
      <c r="W94" t="s">
        <v>25</v>
      </c>
      <c r="X94">
        <v>2</v>
      </c>
      <c r="Y94" t="s">
        <v>327</v>
      </c>
    </row>
    <row r="95" spans="1:25" x14ac:dyDescent="0.4">
      <c r="A95" s="12">
        <v>46002</v>
      </c>
      <c r="B95" s="17">
        <v>0.82708333333333328</v>
      </c>
      <c r="C95" s="10" t="s">
        <v>359</v>
      </c>
      <c r="D95" s="8" t="s">
        <v>293</v>
      </c>
      <c r="J95" t="s">
        <v>24</v>
      </c>
      <c r="K95" s="21">
        <f>IFERROR(solapados_tanda1y2!$P$31*INDEX('z_datos originales'!$C$77:$Q$108,MATCH(limpieza_datos!$C95,'z_datos originales'!$C$77:$C$108,0),MATCH(limpieza_datos!$K$77,'z_datos originales'!$C$77:$Q$77,0)),"")</f>
        <v>1476.9230769230769</v>
      </c>
      <c r="L95" s="21">
        <f>IFERROR(solapados_tanda1y2!$P$31*INDEX('z_datos originales'!$C$77:$Q$108,MATCH(limpieza_datos!$C95,'z_datos originales'!$C$77:$C$108,0),MATCH(limpieza_datos!L$77,'z_datos originales'!$C$77:$Q$77,0)),"")</f>
        <v>1292.3076923076924</v>
      </c>
      <c r="M95" s="21">
        <f>IFERROR(solapados_tanda1y2!$P$31*INDEX('z_datos originales'!$C$77:$Q$108,MATCH(limpieza_datos!$C95,'z_datos originales'!$C$77:$C$108,0),MATCH(limpieza_datos!M$77,'z_datos originales'!$C$77:$Q$77,0)),"")</f>
        <v>1476.9230769230769</v>
      </c>
      <c r="N95" s="21">
        <f>IFERROR(solapados_tanda1y2!$P$31*INDEX('z_datos originales'!$C$77:$Q$108,MATCH(limpieza_datos!$C95,'z_datos originales'!$C$77:$C$108,0),MATCH(limpieza_datos!N$77,'z_datos originales'!$C$77:$Q$77,0)),"")</f>
        <v>2123.0769230769233</v>
      </c>
      <c r="O95" s="21">
        <f>IFERROR(solapados_tanda1y2!$P$31*INDEX('z_datos originales'!$C$77:$Q$108,MATCH(limpieza_datos!$C95,'z_datos originales'!$C$77:$C$108,0),MATCH(limpieza_datos!O$77,'z_datos originales'!$C$77:$Q$77,0)),"")</f>
        <v>923.07692307692309</v>
      </c>
      <c r="P95" s="21">
        <f>IFERROR(solapados_tanda1y2!$P$31*INDEX('z_datos originales'!$C$77:$Q$108,MATCH(limpieza_datos!$C95,'z_datos originales'!$C$77:$C$108,0),MATCH(limpieza_datos!P$77,'z_datos originales'!$C$77:$Q$77,0)),"")</f>
        <v>1476.9230769230769</v>
      </c>
      <c r="Q95" s="21">
        <f>IFERROR(solapados_tanda1y2!$P$31*INDEX('z_datos originales'!$C$77:$Q$108,MATCH(limpieza_datos!$C95,'z_datos originales'!$C$77:$C$108,0),MATCH(limpieza_datos!Q$77,'z_datos originales'!$C$77:$Q$77,0)),"")</f>
        <v>0</v>
      </c>
      <c r="V95" t="s">
        <v>26</v>
      </c>
      <c r="W95" t="s">
        <v>25</v>
      </c>
      <c r="X95">
        <v>2</v>
      </c>
      <c r="Y95" t="s">
        <v>328</v>
      </c>
    </row>
    <row r="96" spans="1:25" x14ac:dyDescent="0.4">
      <c r="A96" s="12">
        <v>46002</v>
      </c>
      <c r="B96" s="17">
        <v>0.83819444444444446</v>
      </c>
      <c r="C96" s="10" t="s">
        <v>360</v>
      </c>
      <c r="D96" s="8" t="s">
        <v>295</v>
      </c>
      <c r="J96" t="s">
        <v>35</v>
      </c>
      <c r="K96" s="21">
        <f>IFERROR(solapados_tanda1y2!$P$31*INDEX('z_datos originales'!$C$77:$Q$108,MATCH(limpieza_datos!$C96,'z_datos originales'!$C$77:$C$108,0),MATCH(limpieza_datos!$K$77,'z_datos originales'!$C$77:$Q$77,0)),"")</f>
        <v>0</v>
      </c>
      <c r="L96" s="21">
        <f>IFERROR(solapados_tanda1y2!$P$31*INDEX('z_datos originales'!$C$77:$Q$108,MATCH(limpieza_datos!$C96,'z_datos originales'!$C$77:$C$108,0),MATCH(limpieza_datos!L$77,'z_datos originales'!$C$77:$Q$77,0)),"")</f>
        <v>2769.2307692307695</v>
      </c>
      <c r="M96" s="21">
        <f>IFERROR(solapados_tanda1y2!$P$31*INDEX('z_datos originales'!$C$77:$Q$108,MATCH(limpieza_datos!$C96,'z_datos originales'!$C$77:$C$108,0),MATCH(limpieza_datos!M$77,'z_datos originales'!$C$77:$Q$77,0)),"")</f>
        <v>0</v>
      </c>
      <c r="N96" s="21">
        <f>IFERROR(solapados_tanda1y2!$P$31*INDEX('z_datos originales'!$C$77:$Q$108,MATCH(limpieza_datos!$C96,'z_datos originales'!$C$77:$C$108,0),MATCH(limpieza_datos!N$77,'z_datos originales'!$C$77:$Q$77,0)),"")</f>
        <v>0</v>
      </c>
      <c r="O96" s="21">
        <f>IFERROR(solapados_tanda1y2!$P$31*INDEX('z_datos originales'!$C$77:$Q$108,MATCH(limpieza_datos!$C96,'z_datos originales'!$C$77:$C$108,0),MATCH(limpieza_datos!O$77,'z_datos originales'!$C$77:$Q$77,0)),"")</f>
        <v>1384.6153846153848</v>
      </c>
      <c r="P96" s="21">
        <f>IFERROR(solapados_tanda1y2!$P$31*INDEX('z_datos originales'!$C$77:$Q$108,MATCH(limpieza_datos!$C96,'z_datos originales'!$C$77:$C$108,0),MATCH(limpieza_datos!P$77,'z_datos originales'!$C$77:$Q$77,0)),"")</f>
        <v>0</v>
      </c>
      <c r="Q96" s="21">
        <f>IFERROR(solapados_tanda1y2!$P$31*INDEX('z_datos originales'!$C$77:$Q$108,MATCH(limpieza_datos!$C96,'z_datos originales'!$C$77:$C$108,0),MATCH(limpieza_datos!Q$77,'z_datos originales'!$C$77:$Q$77,0)),"")</f>
        <v>0</v>
      </c>
      <c r="V96" t="s">
        <v>26</v>
      </c>
      <c r="W96" t="s">
        <v>25</v>
      </c>
      <c r="X96">
        <v>2</v>
      </c>
      <c r="Y96" t="s">
        <v>329</v>
      </c>
    </row>
    <row r="97" spans="1:26" x14ac:dyDescent="0.4">
      <c r="A97" s="12">
        <v>46002</v>
      </c>
      <c r="B97" s="17">
        <v>0.84027777777777779</v>
      </c>
      <c r="C97" s="10" t="s">
        <v>361</v>
      </c>
      <c r="D97" s="8" t="s">
        <v>297</v>
      </c>
      <c r="J97" t="s">
        <v>47</v>
      </c>
      <c r="K97" s="21">
        <f>IFERROR(solapados_tanda1y2!$P$31*INDEX('z_datos originales'!$C$77:$Q$108,MATCH(limpieza_datos!$C97,'z_datos originales'!$C$77:$C$108,0),MATCH(limpieza_datos!$K$77,'z_datos originales'!$C$77:$Q$77,0)),"")</f>
        <v>2030.7692307692309</v>
      </c>
      <c r="L97" s="21">
        <f>IFERROR(solapados_tanda1y2!$P$31*INDEX('z_datos originales'!$C$77:$Q$108,MATCH(limpieza_datos!$C97,'z_datos originales'!$C$77:$C$108,0),MATCH(limpieza_datos!L$77,'z_datos originales'!$C$77:$Q$77,0)),"")</f>
        <v>2307.6923076923076</v>
      </c>
      <c r="M97" s="21">
        <f>IFERROR(solapados_tanda1y2!$P$31*INDEX('z_datos originales'!$C$77:$Q$108,MATCH(limpieza_datos!$C97,'z_datos originales'!$C$77:$C$108,0),MATCH(limpieza_datos!M$77,'z_datos originales'!$C$77:$Q$77,0)),"")</f>
        <v>2307.6923076923076</v>
      </c>
      <c r="N97" s="21">
        <f>IFERROR(solapados_tanda1y2!$P$31*INDEX('z_datos originales'!$C$77:$Q$108,MATCH(limpieza_datos!$C97,'z_datos originales'!$C$77:$C$108,0),MATCH(limpieza_datos!N$77,'z_datos originales'!$C$77:$Q$77,0)),"")</f>
        <v>2769.2307692307695</v>
      </c>
      <c r="O97" s="21">
        <f>IFERROR(solapados_tanda1y2!$P$31*INDEX('z_datos originales'!$C$77:$Q$108,MATCH(limpieza_datos!$C97,'z_datos originales'!$C$77:$C$108,0),MATCH(limpieza_datos!O$77,'z_datos originales'!$C$77:$Q$77,0)),"")</f>
        <v>1384.6153846153848</v>
      </c>
      <c r="P97" s="21">
        <f>IFERROR(solapados_tanda1y2!$P$31*INDEX('z_datos originales'!$C$77:$Q$108,MATCH(limpieza_datos!$C97,'z_datos originales'!$C$77:$C$108,0),MATCH(limpieza_datos!P$77,'z_datos originales'!$C$77:$Q$77,0)),"")</f>
        <v>0</v>
      </c>
      <c r="Q97" s="21">
        <f>IFERROR(solapados_tanda1y2!$P$31*INDEX('z_datos originales'!$C$77:$Q$108,MATCH(limpieza_datos!$C97,'z_datos originales'!$C$77:$C$108,0),MATCH(limpieza_datos!Q$77,'z_datos originales'!$C$77:$Q$77,0)),"")</f>
        <v>0</v>
      </c>
      <c r="V97" t="s">
        <v>26</v>
      </c>
      <c r="W97" t="s">
        <v>25</v>
      </c>
      <c r="X97">
        <v>2</v>
      </c>
      <c r="Y97" t="s">
        <v>330</v>
      </c>
    </row>
    <row r="98" spans="1:26" x14ac:dyDescent="0.4">
      <c r="A98" s="12">
        <v>46002</v>
      </c>
      <c r="B98" s="17">
        <v>0.85069444444444442</v>
      </c>
      <c r="C98" s="10" t="s">
        <v>363</v>
      </c>
      <c r="D98" s="8" t="s">
        <v>301</v>
      </c>
      <c r="J98" t="s">
        <v>37</v>
      </c>
      <c r="K98" s="21">
        <f>IFERROR(solapados_tanda1y2!$P$31*INDEX('z_datos originales'!$C$77:$Q$108,MATCH(limpieza_datos!$C98,'z_datos originales'!$C$77:$C$108,0),MATCH(limpieza_datos!$K$77,'z_datos originales'!$C$77:$Q$77,0)),"")</f>
        <v>1190.7692307692309</v>
      </c>
      <c r="L98" s="21">
        <f>IFERROR(solapados_tanda1y2!$P$31*INDEX('z_datos originales'!$C$77:$Q$108,MATCH(limpieza_datos!$C98,'z_datos originales'!$C$77:$C$108,0),MATCH(limpieza_datos!L$77,'z_datos originales'!$C$77:$Q$77,0)),"")</f>
        <v>872.30769230769238</v>
      </c>
      <c r="M98" s="21">
        <f>IFERROR(solapados_tanda1y2!$P$31*INDEX('z_datos originales'!$C$77:$Q$108,MATCH(limpieza_datos!$C98,'z_datos originales'!$C$77:$C$108,0),MATCH(limpieza_datos!M$77,'z_datos originales'!$C$77:$Q$77,0)),"")</f>
        <v>1006.1538461538462</v>
      </c>
      <c r="N98" s="21">
        <f>IFERROR(solapados_tanda1y2!$P$31*INDEX('z_datos originales'!$C$77:$Q$108,MATCH(limpieza_datos!$C98,'z_datos originales'!$C$77:$C$108,0),MATCH(limpieza_datos!N$77,'z_datos originales'!$C$77:$Q$77,0)),"")</f>
        <v>1130.7692307692309</v>
      </c>
      <c r="O98" s="21">
        <f>IFERROR(solapados_tanda1y2!$P$31*INDEX('z_datos originales'!$C$77:$Q$108,MATCH(limpieza_datos!$C98,'z_datos originales'!$C$77:$C$108,0),MATCH(limpieza_datos!O$77,'z_datos originales'!$C$77:$Q$77,0)),"")</f>
        <v>821.53846153846155</v>
      </c>
      <c r="P98" s="21">
        <f>IFERROR(solapados_tanda1y2!$P$31*INDEX('z_datos originales'!$C$77:$Q$108,MATCH(limpieza_datos!$C98,'z_datos originales'!$C$77:$C$108,0),MATCH(limpieza_datos!P$77,'z_datos originales'!$C$77:$Q$77,0)),"")</f>
        <v>1797.6923076923078</v>
      </c>
      <c r="Q98" s="21">
        <f>IFERROR(solapados_tanda1y2!$P$31*INDEX('z_datos originales'!$C$77:$Q$108,MATCH(limpieza_datos!$C98,'z_datos originales'!$C$77:$C$108,0),MATCH(limpieza_datos!Q$77,'z_datos originales'!$C$77:$Q$77,0)),"")</f>
        <v>14400</v>
      </c>
      <c r="V98" t="s">
        <v>25</v>
      </c>
      <c r="W98" t="s">
        <v>25</v>
      </c>
      <c r="X98">
        <v>2</v>
      </c>
      <c r="Y98" t="s">
        <v>332</v>
      </c>
    </row>
    <row r="99" spans="1:26" x14ac:dyDescent="0.4">
      <c r="A99" s="12">
        <v>46002</v>
      </c>
      <c r="B99" s="17">
        <v>0.85347222222222219</v>
      </c>
      <c r="C99" s="10" t="s">
        <v>364</v>
      </c>
      <c r="D99" s="8" t="s">
        <v>303</v>
      </c>
      <c r="J99" t="s">
        <v>35</v>
      </c>
      <c r="K99" s="21">
        <f>IFERROR(solapados_tanda1y2!$P$31*INDEX('z_datos originales'!$C$77:$Q$108,MATCH(limpieza_datos!$C99,'z_datos originales'!$C$77:$C$108,0),MATCH(limpieza_datos!$K$77,'z_datos originales'!$C$77:$Q$77,0)),"")</f>
        <v>0</v>
      </c>
      <c r="L99" s="21">
        <f>IFERROR(solapados_tanda1y2!$P$31*INDEX('z_datos originales'!$C$77:$Q$108,MATCH(limpieza_datos!$C99,'z_datos originales'!$C$77:$C$108,0),MATCH(limpieza_datos!L$77,'z_datos originales'!$C$77:$Q$77,0)),"")</f>
        <v>0</v>
      </c>
      <c r="M99" s="21">
        <f>IFERROR(solapados_tanda1y2!$P$31*INDEX('z_datos originales'!$C$77:$Q$108,MATCH(limpieza_datos!$C99,'z_datos originales'!$C$77:$C$108,0),MATCH(limpieza_datos!M$77,'z_datos originales'!$C$77:$Q$77,0)),"")</f>
        <v>0</v>
      </c>
      <c r="N99" s="21">
        <f>IFERROR(solapados_tanda1y2!$P$31*INDEX('z_datos originales'!$C$77:$Q$108,MATCH(limpieza_datos!$C99,'z_datos originales'!$C$77:$C$108,0),MATCH(limpieza_datos!N$77,'z_datos originales'!$C$77:$Q$77,0)),"")</f>
        <v>0</v>
      </c>
      <c r="O99" s="21">
        <f>IFERROR(solapados_tanda1y2!$P$31*INDEX('z_datos originales'!$C$77:$Q$108,MATCH(limpieza_datos!$C99,'z_datos originales'!$C$77:$C$108,0),MATCH(limpieza_datos!O$77,'z_datos originales'!$C$77:$Q$77,0)),"")</f>
        <v>1846.1538461538462</v>
      </c>
      <c r="P99" s="21">
        <f>IFERROR(solapados_tanda1y2!$P$31*INDEX('z_datos originales'!$C$77:$Q$108,MATCH(limpieza_datos!$C99,'z_datos originales'!$C$77:$C$108,0),MATCH(limpieza_datos!P$77,'z_datos originales'!$C$77:$Q$77,0)),"")</f>
        <v>0</v>
      </c>
      <c r="Q99" s="21">
        <f>IFERROR(solapados_tanda1y2!$P$31*INDEX('z_datos originales'!$C$77:$Q$108,MATCH(limpieza_datos!$C99,'z_datos originales'!$C$77:$C$108,0),MATCH(limpieza_datos!Q$77,'z_datos originales'!$C$77:$Q$77,0)),"")</f>
        <v>0</v>
      </c>
      <c r="V99" t="s">
        <v>26</v>
      </c>
      <c r="W99" t="s">
        <v>25</v>
      </c>
      <c r="X99">
        <v>2</v>
      </c>
      <c r="Y99" t="s">
        <v>333</v>
      </c>
    </row>
    <row r="100" spans="1:26" s="15" customFormat="1" x14ac:dyDescent="0.4">
      <c r="A100" s="14"/>
      <c r="D100" s="16"/>
      <c r="K100" s="15" t="s">
        <v>5</v>
      </c>
      <c r="L100" s="15" t="s">
        <v>243</v>
      </c>
      <c r="M100" s="15" t="s">
        <v>6</v>
      </c>
      <c r="N100" s="15" t="s">
        <v>7</v>
      </c>
      <c r="O100" s="15" t="s">
        <v>8</v>
      </c>
      <c r="P100" s="15" t="s">
        <v>9</v>
      </c>
      <c r="Q100" s="15" t="s">
        <v>10</v>
      </c>
      <c r="R100" s="15" t="s">
        <v>11</v>
      </c>
      <c r="S100" s="15" t="s">
        <v>12</v>
      </c>
      <c r="T100" s="15" t="s">
        <v>13</v>
      </c>
      <c r="U100" s="15" t="s">
        <v>14</v>
      </c>
      <c r="V100" s="15" t="s">
        <v>244</v>
      </c>
      <c r="W100" s="15" t="s">
        <v>15</v>
      </c>
      <c r="X100" s="15" t="s">
        <v>259</v>
      </c>
      <c r="Y100" s="15" t="s">
        <v>237</v>
      </c>
      <c r="Z100" s="15" t="s">
        <v>16</v>
      </c>
    </row>
    <row r="101" spans="1:26" x14ac:dyDescent="0.4">
      <c r="A101" s="12">
        <v>45733</v>
      </c>
      <c r="B101">
        <v>0.59652777777777777</v>
      </c>
      <c r="C101" t="s">
        <v>426</v>
      </c>
      <c r="D101" s="8" t="s">
        <v>395</v>
      </c>
      <c r="J101" t="s">
        <v>58</v>
      </c>
      <c r="K101" s="21">
        <f>IFERROR(solapados_tanda1y3!$P$30*INDEX('z_datos originales'!$C$109:$Q$185,MATCH(limpieza_datos!$C101,'z_datos originales'!$C$109:$C$185,0),MATCH(limpieza_datos!$K$100,'z_datos originales'!$C$109:$Q$109,0)),"")</f>
        <v>1592.6136363636365</v>
      </c>
      <c r="L101" s="21">
        <f>IFERROR(solapados_tanda1y3!$P$30*INDEX('z_datos originales'!$C$109:$Q$185,MATCH(limpieza_datos!$C101,'z_datos originales'!$C$109:$C$185,0),MATCH(limpieza_datos!$L$100,'z_datos originales'!$C$109:$Q$109,0)),"")</f>
        <v>1061.7424242424242</v>
      </c>
      <c r="M101" s="21">
        <f>IFERROR(solapados_tanda1y3!$P$30*INDEX('z_datos originales'!$C$109:$Q$185,MATCH(limpieza_datos!$C101,'z_datos originales'!$C$109:$C$185,0),MATCH(limpieza_datos!$M$100,'z_datos originales'!$C$109:$Q$109,0)),"")</f>
        <v>1327.1780303030305</v>
      </c>
      <c r="N101" s="21">
        <f>IFERROR(solapados_tanda1y3!$P$30*INDEX('z_datos originales'!$C$109:$Q$185,MATCH(limpieza_datos!$C101,'z_datos originales'!$C$109:$C$185,0),MATCH(limpieza_datos!$N$100,'z_datos originales'!$C$109:$Q$109,0)),"")</f>
        <v>1769.5707070707072</v>
      </c>
      <c r="O101" s="21">
        <f>IFERROR(solapados_tanda1y3!$P$30*INDEX('z_datos originales'!$C$109:$Q$185,MATCH(limpieza_datos!$C101,'z_datos originales'!$C$109:$C$185,0),MATCH(limpieza_datos!$O$100,'z_datos originales'!$C$109:$Q$109,0)),"")</f>
        <v>1327.1780303030305</v>
      </c>
      <c r="P101" s="21">
        <f>IFERROR(solapados_tanda1y3!$P$30*INDEX('z_datos originales'!$C$109:$Q$185,MATCH(limpieza_datos!$C101,'z_datos originales'!$C$109:$C$185,0),MATCH(limpieza_datos!$P$100,'z_datos originales'!$C$109:$Q$109,0)),"")</f>
        <v>1504.1351010101012</v>
      </c>
      <c r="Q101" s="21">
        <f>IFERROR(solapados_tanda1y3!$P$30*INDEX('z_datos originales'!$C$109:$Q$185,MATCH(limpieza_datos!$C101,'z_datos originales'!$C$109:$C$185,0),MATCH(limpieza_datos!$Q$100,'z_datos originales'!$C$109:$Q$109,0)),"")</f>
        <v>0</v>
      </c>
      <c r="V101" t="s">
        <v>26</v>
      </c>
      <c r="W101" t="s">
        <v>25</v>
      </c>
      <c r="X101">
        <v>3</v>
      </c>
      <c r="Y101" t="s">
        <v>638</v>
      </c>
    </row>
    <row r="102" spans="1:26" x14ac:dyDescent="0.4">
      <c r="A102" s="12">
        <v>45733</v>
      </c>
      <c r="B102">
        <v>0.60347222222222219</v>
      </c>
      <c r="C102" t="s">
        <v>429</v>
      </c>
      <c r="D102" s="8" t="s">
        <v>398</v>
      </c>
      <c r="J102" t="s">
        <v>21</v>
      </c>
      <c r="K102" s="21">
        <f>IFERROR(solapados_tanda1y3!$P$30*INDEX('z_datos originales'!$C$109:$Q$185,MATCH(limpieza_datos!$C102,'z_datos originales'!$C$109:$C$185,0),MATCH(limpieza_datos!$K$100,'z_datos originales'!$C$109:$Q$109,0)),"")</f>
        <v>0</v>
      </c>
      <c r="L102" s="21">
        <f>IFERROR(solapados_tanda1y3!$P$30*INDEX('z_datos originales'!$C$109:$Q$185,MATCH(limpieza_datos!$C102,'z_datos originales'!$C$109:$C$185,0),MATCH(limpieza_datos!$L$100,'z_datos originales'!$C$109:$Q$109,0)),"")</f>
        <v>0</v>
      </c>
      <c r="M102" s="21">
        <f>IFERROR(solapados_tanda1y3!$P$30*INDEX('z_datos originales'!$C$109:$Q$185,MATCH(limpieza_datos!$C102,'z_datos originales'!$C$109:$C$185,0),MATCH(limpieza_datos!$M$100,'z_datos originales'!$C$109:$Q$109,0)),"")</f>
        <v>0</v>
      </c>
      <c r="N102" s="21">
        <f>IFERROR(solapados_tanda1y3!$P$30*INDEX('z_datos originales'!$C$109:$Q$185,MATCH(limpieza_datos!$C102,'z_datos originales'!$C$109:$C$185,0),MATCH(limpieza_datos!$N$100,'z_datos originales'!$C$109:$Q$109,0)),"")</f>
        <v>0</v>
      </c>
      <c r="O102" s="21">
        <f>IFERROR(solapados_tanda1y3!$P$30*INDEX('z_datos originales'!$C$109:$Q$185,MATCH(limpieza_datos!$C102,'z_datos originales'!$C$109:$C$185,0),MATCH(limpieza_datos!$O$100,'z_datos originales'!$C$109:$Q$109,0)),"")</f>
        <v>0</v>
      </c>
      <c r="P102" s="21">
        <f>IFERROR(solapados_tanda1y3!$P$30*INDEX('z_datos originales'!$C$109:$Q$185,MATCH(limpieza_datos!$C102,'z_datos originales'!$C$109:$C$185,0),MATCH(limpieza_datos!$P$100,'z_datos originales'!$C$109:$Q$109,0)),"")</f>
        <v>0</v>
      </c>
      <c r="Q102" s="21">
        <f>IFERROR(solapados_tanda1y3!$P$30*INDEX('z_datos originales'!$C$109:$Q$185,MATCH(limpieza_datos!$C102,'z_datos originales'!$C$109:$C$185,0),MATCH(limpieza_datos!$Q$100,'z_datos originales'!$C$109:$Q$109,0)),"")</f>
        <v>17695.707070707071</v>
      </c>
      <c r="V102" t="s">
        <v>25</v>
      </c>
      <c r="W102" t="s">
        <v>25</v>
      </c>
      <c r="X102">
        <v>3</v>
      </c>
      <c r="Y102" t="s">
        <v>640</v>
      </c>
    </row>
    <row r="103" spans="1:26" x14ac:dyDescent="0.4">
      <c r="A103" s="12">
        <v>45733</v>
      </c>
      <c r="B103">
        <v>0.61458333333333337</v>
      </c>
      <c r="C103" t="s">
        <v>433</v>
      </c>
      <c r="D103" s="8" t="s">
        <v>402</v>
      </c>
      <c r="J103" t="s">
        <v>87</v>
      </c>
      <c r="K103" s="21">
        <f>IFERROR(solapados_tanda1y3!$P$30*INDEX('z_datos originales'!$C$109:$Q$185,MATCH(limpieza_datos!$C103,'z_datos originales'!$C$109:$C$185,0),MATCH(limpieza_datos!$K$100,'z_datos originales'!$C$109:$Q$109,0)),"")</f>
        <v>0</v>
      </c>
      <c r="L103" s="21">
        <f>IFERROR(solapados_tanda1y3!$P$30*INDEX('z_datos originales'!$C$109:$Q$185,MATCH(limpieza_datos!$C103,'z_datos originales'!$C$109:$C$185,0),MATCH(limpieza_datos!$L$100,'z_datos originales'!$C$109:$Q$109,0)),"")</f>
        <v>0</v>
      </c>
      <c r="M103" s="21">
        <f>IFERROR(solapados_tanda1y3!$P$30*INDEX('z_datos originales'!$C$109:$Q$185,MATCH(limpieza_datos!$C103,'z_datos originales'!$C$109:$C$185,0),MATCH(limpieza_datos!$M$100,'z_datos originales'!$C$109:$Q$109,0)),"")</f>
        <v>0</v>
      </c>
      <c r="N103" s="21">
        <f>IFERROR(solapados_tanda1y3!$P$30*INDEX('z_datos originales'!$C$109:$Q$185,MATCH(limpieza_datos!$C103,'z_datos originales'!$C$109:$C$185,0),MATCH(limpieza_datos!$N$100,'z_datos originales'!$C$109:$Q$109,0)),"")</f>
        <v>0</v>
      </c>
      <c r="O103" s="21">
        <f>IFERROR(solapados_tanda1y3!$P$30*INDEX('z_datos originales'!$C$109:$Q$185,MATCH(limpieza_datos!$C103,'z_datos originales'!$C$109:$C$185,0),MATCH(limpieza_datos!$O$100,'z_datos originales'!$C$109:$Q$109,0)),"")</f>
        <v>0</v>
      </c>
      <c r="P103" s="21">
        <f>IFERROR(solapados_tanda1y3!$P$30*INDEX('z_datos originales'!$C$109:$Q$185,MATCH(limpieza_datos!$C103,'z_datos originales'!$C$109:$C$185,0),MATCH(limpieza_datos!$P$100,'z_datos originales'!$C$109:$Q$109,0)),"")</f>
        <v>0</v>
      </c>
      <c r="Q103" s="21">
        <f>IFERROR(solapados_tanda1y3!$P$30*INDEX('z_datos originales'!$C$109:$Q$185,MATCH(limpieza_datos!$C103,'z_datos originales'!$C$109:$C$185,0),MATCH(limpieza_datos!$Q$100,'z_datos originales'!$C$109:$Q$109,0)),"")</f>
        <v>13908.825757575758</v>
      </c>
      <c r="V103" t="s">
        <v>26</v>
      </c>
      <c r="W103" t="s">
        <v>25</v>
      </c>
      <c r="X103">
        <v>3</v>
      </c>
      <c r="Y103" t="s">
        <v>644</v>
      </c>
    </row>
    <row r="104" spans="1:26" x14ac:dyDescent="0.4">
      <c r="A104" s="12">
        <v>45733</v>
      </c>
      <c r="B104">
        <v>0.61527777777777781</v>
      </c>
      <c r="C104" t="s">
        <v>434</v>
      </c>
      <c r="D104" s="8" t="s">
        <v>403</v>
      </c>
      <c r="J104" t="s">
        <v>37</v>
      </c>
      <c r="K104" s="21">
        <f>IFERROR(solapados_tanda1y3!$P$30*INDEX('z_datos originales'!$C$109:$Q$185,MATCH(limpieza_datos!$C104,'z_datos originales'!$C$109:$C$185,0),MATCH(limpieza_datos!$K$100,'z_datos originales'!$C$109:$Q$109,0)),"")</f>
        <v>1459.8958333333335</v>
      </c>
      <c r="L104" s="21">
        <f>IFERROR(solapados_tanda1y3!$P$30*INDEX('z_datos originales'!$C$109:$Q$185,MATCH(limpieza_datos!$C104,'z_datos originales'!$C$109:$C$185,0),MATCH(limpieza_datos!$L$100,'z_datos originales'!$C$109:$Q$109,0)),"")</f>
        <v>836.12215909090912</v>
      </c>
      <c r="M104" s="21">
        <f>IFERROR(solapados_tanda1y3!$P$30*INDEX('z_datos originales'!$C$109:$Q$185,MATCH(limpieza_datos!$C104,'z_datos originales'!$C$109:$C$185,0),MATCH(limpieza_datos!$M$100,'z_datos originales'!$C$109:$Q$109,0)),"")</f>
        <v>1105.9816919191919</v>
      </c>
      <c r="N104" s="21">
        <f>IFERROR(solapados_tanda1y3!$P$30*INDEX('z_datos originales'!$C$109:$Q$185,MATCH(limpieza_datos!$C104,'z_datos originales'!$C$109:$C$185,0),MATCH(limpieza_datos!$N$100,'z_datos originales'!$C$109:$Q$109,0)),"")</f>
        <v>1114.8295454545455</v>
      </c>
      <c r="O104" s="21">
        <f>IFERROR(solapados_tanda1y3!$P$30*INDEX('z_datos originales'!$C$109:$Q$185,MATCH(limpieza_datos!$C104,'z_datos originales'!$C$109:$C$185,0),MATCH(limpieza_datos!$O$100,'z_datos originales'!$C$109:$Q$109,0)),"")</f>
        <v>1229.8516414141416</v>
      </c>
      <c r="P104" s="21">
        <f>IFERROR(solapados_tanda1y3!$P$30*INDEX('z_datos originales'!$C$109:$Q$185,MATCH(limpieza_datos!$C104,'z_datos originales'!$C$109:$C$185,0),MATCH(limpieza_datos!$P$100,'z_datos originales'!$C$109:$Q$109,0)),"")</f>
        <v>2972.878787878788</v>
      </c>
      <c r="Q104" s="21">
        <f>IFERROR(solapados_tanda1y3!$P$30*INDEX('z_datos originales'!$C$109:$Q$185,MATCH(limpieza_datos!$C104,'z_datos originales'!$C$109:$C$185,0),MATCH(limpieza_datos!$Q$100,'z_datos originales'!$C$109:$Q$109,0)),"")</f>
        <v>17695.707070707071</v>
      </c>
      <c r="V104" t="s">
        <v>25</v>
      </c>
      <c r="W104" t="s">
        <v>25</v>
      </c>
      <c r="X104">
        <v>3</v>
      </c>
      <c r="Y104" t="s">
        <v>645</v>
      </c>
    </row>
    <row r="105" spans="1:26" x14ac:dyDescent="0.4">
      <c r="A105" s="12">
        <v>45733</v>
      </c>
      <c r="B105">
        <v>0.62013888888888891</v>
      </c>
      <c r="C105" t="s">
        <v>435</v>
      </c>
      <c r="D105" s="8" t="s">
        <v>404</v>
      </c>
      <c r="J105" t="s">
        <v>35</v>
      </c>
      <c r="K105" s="21">
        <f>IFERROR(solapados_tanda1y3!$P$30*INDEX('z_datos originales'!$C$109:$Q$185,MATCH(limpieza_datos!$C105,'z_datos originales'!$C$109:$C$185,0),MATCH(limpieza_datos!$K$100,'z_datos originales'!$C$109:$Q$109,0)),"")</f>
        <v>0</v>
      </c>
      <c r="L105" s="21">
        <f>IFERROR(solapados_tanda1y3!$P$30*INDEX('z_datos originales'!$C$109:$Q$185,MATCH(limpieza_datos!$C105,'z_datos originales'!$C$109:$C$185,0),MATCH(limpieza_datos!$L$100,'z_datos originales'!$C$109:$Q$109,0)),"")</f>
        <v>0</v>
      </c>
      <c r="M105" s="21">
        <f>IFERROR(solapados_tanda1y3!$P$30*INDEX('z_datos originales'!$C$109:$Q$185,MATCH(limpieza_datos!$C105,'z_datos originales'!$C$109:$C$185,0),MATCH(limpieza_datos!$M$100,'z_datos originales'!$C$109:$Q$109,0)),"")</f>
        <v>0</v>
      </c>
      <c r="N105" s="21">
        <f>IFERROR(solapados_tanda1y3!$P$30*INDEX('z_datos originales'!$C$109:$Q$185,MATCH(limpieza_datos!$C105,'z_datos originales'!$C$109:$C$185,0),MATCH(limpieza_datos!$N$100,'z_datos originales'!$C$109:$Q$109,0)),"")</f>
        <v>0</v>
      </c>
      <c r="O105" s="21">
        <f>IFERROR(solapados_tanda1y3!$P$30*INDEX('z_datos originales'!$C$109:$Q$185,MATCH(limpieza_datos!$C105,'z_datos originales'!$C$109:$C$185,0),MATCH(limpieza_datos!$O$100,'z_datos originales'!$C$109:$Q$109,0)),"")</f>
        <v>1150.2209595959596</v>
      </c>
      <c r="P105" s="21">
        <f>IFERROR(solapados_tanda1y3!$P$30*INDEX('z_datos originales'!$C$109:$Q$185,MATCH(limpieza_datos!$C105,'z_datos originales'!$C$109:$C$185,0),MATCH(limpieza_datos!$P$100,'z_datos originales'!$C$109:$Q$109,0)),"")</f>
        <v>0</v>
      </c>
      <c r="Q105" s="21">
        <f>IFERROR(solapados_tanda1y3!$P$30*INDEX('z_datos originales'!$C$109:$Q$185,MATCH(limpieza_datos!$C105,'z_datos originales'!$C$109:$C$185,0),MATCH(limpieza_datos!$Q$100,'z_datos originales'!$C$109:$Q$109,0)),"")</f>
        <v>0</v>
      </c>
      <c r="V105" t="s">
        <v>26</v>
      </c>
      <c r="W105" t="s">
        <v>25</v>
      </c>
      <c r="X105">
        <v>3</v>
      </c>
      <c r="Y105" t="s">
        <v>646</v>
      </c>
    </row>
    <row r="106" spans="1:26" x14ac:dyDescent="0.4">
      <c r="A106" s="12">
        <v>45733</v>
      </c>
      <c r="B106">
        <v>0.62083333333333335</v>
      </c>
      <c r="C106" t="s">
        <v>436</v>
      </c>
      <c r="D106" s="8" t="s">
        <v>405</v>
      </c>
      <c r="J106" t="s">
        <v>21</v>
      </c>
      <c r="K106" s="21">
        <f>IFERROR(solapados_tanda1y3!$P$30*INDEX('z_datos originales'!$C$109:$Q$185,MATCH(limpieza_datos!$C106,'z_datos originales'!$C$109:$C$185,0),MATCH(limpieza_datos!$K$100,'z_datos originales'!$C$109:$Q$109,0)),"")</f>
        <v>0</v>
      </c>
      <c r="L106" s="21">
        <f>IFERROR(solapados_tanda1y3!$P$30*INDEX('z_datos originales'!$C$109:$Q$185,MATCH(limpieza_datos!$C106,'z_datos originales'!$C$109:$C$185,0),MATCH(limpieza_datos!$L$100,'z_datos originales'!$C$109:$Q$109,0)),"")</f>
        <v>0</v>
      </c>
      <c r="M106" s="21">
        <f>IFERROR(solapados_tanda1y3!$P$30*INDEX('z_datos originales'!$C$109:$Q$185,MATCH(limpieza_datos!$C106,'z_datos originales'!$C$109:$C$185,0),MATCH(limpieza_datos!$M$100,'z_datos originales'!$C$109:$Q$109,0)),"")</f>
        <v>0</v>
      </c>
      <c r="N106" s="21">
        <f>IFERROR(solapados_tanda1y3!$P$30*INDEX('z_datos originales'!$C$109:$Q$185,MATCH(limpieza_datos!$C106,'z_datos originales'!$C$109:$C$185,0),MATCH(limpieza_datos!$N$100,'z_datos originales'!$C$109:$Q$109,0)),"")</f>
        <v>0</v>
      </c>
      <c r="O106" s="21">
        <f>IFERROR(solapados_tanda1y3!$P$30*INDEX('z_datos originales'!$C$109:$Q$185,MATCH(limpieza_datos!$C106,'z_datos originales'!$C$109:$C$185,0),MATCH(limpieza_datos!$O$100,'z_datos originales'!$C$109:$Q$109,0)),"")</f>
        <v>0</v>
      </c>
      <c r="P106" s="21">
        <f>IFERROR(solapados_tanda1y3!$P$30*INDEX('z_datos originales'!$C$109:$Q$185,MATCH(limpieza_datos!$C106,'z_datos originales'!$C$109:$C$185,0),MATCH(limpieza_datos!$P$100,'z_datos originales'!$C$109:$Q$109,0)),"")</f>
        <v>0</v>
      </c>
      <c r="Q106" s="21">
        <f>IFERROR(solapados_tanda1y3!$P$30*INDEX('z_datos originales'!$C$109:$Q$185,MATCH(limpieza_datos!$C106,'z_datos originales'!$C$109:$C$185,0),MATCH(limpieza_datos!$Q$100,'z_datos originales'!$C$109:$Q$109,0)),"")</f>
        <v>17695.707070707071</v>
      </c>
      <c r="V106" t="s">
        <v>25</v>
      </c>
      <c r="W106" t="s">
        <v>25</v>
      </c>
      <c r="X106">
        <v>3</v>
      </c>
      <c r="Y106" t="s">
        <v>647</v>
      </c>
    </row>
    <row r="107" spans="1:26" x14ac:dyDescent="0.4">
      <c r="A107" s="12">
        <v>45733</v>
      </c>
      <c r="B107">
        <v>0.62708333333333333</v>
      </c>
      <c r="C107" t="s">
        <v>438</v>
      </c>
      <c r="D107" s="8" t="s">
        <v>407</v>
      </c>
      <c r="J107" t="s">
        <v>24</v>
      </c>
      <c r="K107" s="21">
        <f>IFERROR(solapados_tanda1y3!$P$30*INDEX('z_datos originales'!$C$109:$Q$185,MATCH(limpieza_datos!$C107,'z_datos originales'!$C$109:$C$185,0),MATCH(limpieza_datos!$K$100,'z_datos originales'!$C$109:$Q$109,0)),"")</f>
        <v>1681.0921717171718</v>
      </c>
      <c r="L107" s="21">
        <f>IFERROR(solapados_tanda1y3!$P$30*INDEX('z_datos originales'!$C$109:$Q$185,MATCH(limpieza_datos!$C107,'z_datos originales'!$C$109:$C$185,0),MATCH(limpieza_datos!$L$100,'z_datos originales'!$C$109:$Q$109,0)),"")</f>
        <v>973.26388888888891</v>
      </c>
      <c r="M107" s="21">
        <f>IFERROR(solapados_tanda1y3!$P$30*INDEX('z_datos originales'!$C$109:$Q$185,MATCH(limpieza_datos!$C107,'z_datos originales'!$C$109:$C$185,0),MATCH(limpieza_datos!$M$100,'z_datos originales'!$C$109:$Q$109,0)),"")</f>
        <v>0</v>
      </c>
      <c r="N107" s="21">
        <f>IFERROR(solapados_tanda1y3!$P$30*INDEX('z_datos originales'!$C$109:$Q$185,MATCH(limpieza_datos!$C107,'z_datos originales'!$C$109:$C$185,0),MATCH(limpieza_datos!$N$100,'z_datos originales'!$C$109:$Q$109,0)),"")</f>
        <v>0</v>
      </c>
      <c r="O107" s="21">
        <f>IFERROR(solapados_tanda1y3!$P$30*INDEX('z_datos originales'!$C$109:$Q$185,MATCH(limpieza_datos!$C107,'z_datos originales'!$C$109:$C$185,0),MATCH(limpieza_datos!$O$100,'z_datos originales'!$C$109:$Q$109,0)),"")</f>
        <v>0</v>
      </c>
      <c r="P107" s="21">
        <f>IFERROR(solapados_tanda1y3!$P$30*INDEX('z_datos originales'!$C$109:$Q$185,MATCH(limpieza_datos!$C107,'z_datos originales'!$C$109:$C$185,0),MATCH(limpieza_datos!$P$100,'z_datos originales'!$C$109:$Q$109,0)),"")</f>
        <v>1636.8529040404042</v>
      </c>
      <c r="Q107" s="21">
        <f>IFERROR(solapados_tanda1y3!$P$30*INDEX('z_datos originales'!$C$109:$Q$185,MATCH(limpieza_datos!$C107,'z_datos originales'!$C$109:$C$185,0),MATCH(limpieza_datos!$Q$100,'z_datos originales'!$C$109:$Q$109,0)),"")</f>
        <v>0</v>
      </c>
      <c r="V107" t="s">
        <v>26</v>
      </c>
      <c r="W107" t="s">
        <v>25</v>
      </c>
      <c r="X107">
        <v>3</v>
      </c>
      <c r="Y107" t="s">
        <v>649</v>
      </c>
    </row>
    <row r="108" spans="1:26" x14ac:dyDescent="0.4">
      <c r="A108" s="12">
        <v>45733</v>
      </c>
      <c r="B108">
        <v>0.63124999999999998</v>
      </c>
      <c r="C108" t="s">
        <v>439</v>
      </c>
      <c r="D108" s="8" t="s">
        <v>408</v>
      </c>
      <c r="J108" t="s">
        <v>35</v>
      </c>
      <c r="K108" s="21">
        <f>IFERROR(solapados_tanda1y3!$P$30*INDEX('z_datos originales'!$C$109:$Q$185,MATCH(limpieza_datos!$C108,'z_datos originales'!$C$109:$C$185,0),MATCH(limpieza_datos!$K$100,'z_datos originales'!$C$109:$Q$109,0)),"")</f>
        <v>0</v>
      </c>
      <c r="L108" s="21">
        <f>IFERROR(solapados_tanda1y3!$P$30*INDEX('z_datos originales'!$C$109:$Q$185,MATCH(limpieza_datos!$C108,'z_datos originales'!$C$109:$C$185,0),MATCH(limpieza_datos!$L$100,'z_datos originales'!$C$109:$Q$109,0)),"")</f>
        <v>0</v>
      </c>
      <c r="M108" s="21">
        <f>IFERROR(solapados_tanda1y3!$P$30*INDEX('z_datos originales'!$C$109:$Q$185,MATCH(limpieza_datos!$C108,'z_datos originales'!$C$109:$C$185,0),MATCH(limpieza_datos!$M$100,'z_datos originales'!$C$109:$Q$109,0)),"")</f>
        <v>0</v>
      </c>
      <c r="N108" s="21">
        <f>IFERROR(solapados_tanda1y3!$P$30*INDEX('z_datos originales'!$C$109:$Q$185,MATCH(limpieza_datos!$C108,'z_datos originales'!$C$109:$C$185,0),MATCH(limpieza_datos!$N$100,'z_datos originales'!$C$109:$Q$109,0)),"")</f>
        <v>0</v>
      </c>
      <c r="O108" s="21">
        <f>IFERROR(solapados_tanda1y3!$P$30*INDEX('z_datos originales'!$C$109:$Q$185,MATCH(limpieza_datos!$C108,'z_datos originales'!$C$109:$C$185,0),MATCH(limpieza_datos!$O$100,'z_datos originales'!$C$109:$Q$109,0)),"")</f>
        <v>707.82828282828291</v>
      </c>
      <c r="P108" s="21">
        <f>IFERROR(solapados_tanda1y3!$P$30*INDEX('z_datos originales'!$C$109:$Q$185,MATCH(limpieza_datos!$C108,'z_datos originales'!$C$109:$C$185,0),MATCH(limpieza_datos!$P$100,'z_datos originales'!$C$109:$Q$109,0)),"")</f>
        <v>0</v>
      </c>
      <c r="Q108" s="21">
        <f>IFERROR(solapados_tanda1y3!$P$30*INDEX('z_datos originales'!$C$109:$Q$185,MATCH(limpieza_datos!$C108,'z_datos originales'!$C$109:$C$185,0),MATCH(limpieza_datos!$Q$100,'z_datos originales'!$C$109:$Q$109,0)),"")</f>
        <v>0</v>
      </c>
      <c r="V108" t="s">
        <v>26</v>
      </c>
      <c r="W108" t="s">
        <v>25</v>
      </c>
      <c r="X108">
        <v>3</v>
      </c>
      <c r="Y108" t="s">
        <v>650</v>
      </c>
    </row>
    <row r="109" spans="1:26" x14ac:dyDescent="0.4">
      <c r="A109" s="12">
        <v>45733</v>
      </c>
      <c r="B109">
        <v>0.63263888888888886</v>
      </c>
      <c r="C109" t="s">
        <v>440</v>
      </c>
      <c r="D109" s="8" t="s">
        <v>409</v>
      </c>
      <c r="J109" t="s">
        <v>20</v>
      </c>
      <c r="K109" s="21">
        <f>IFERROR(solapados_tanda1y3!$P$30*INDEX('z_datos originales'!$C$109:$Q$185,MATCH(limpieza_datos!$C109,'z_datos originales'!$C$109:$C$185,0),MATCH(limpieza_datos!$K$100,'z_datos originales'!$C$109:$Q$109,0)),"")</f>
        <v>1052.8945707070707</v>
      </c>
      <c r="L109" s="21">
        <f>IFERROR(solapados_tanda1y3!$P$30*INDEX('z_datos originales'!$C$109:$Q$185,MATCH(limpieza_datos!$C109,'z_datos originales'!$C$109:$C$185,0),MATCH(limpieza_datos!$L$100,'z_datos originales'!$C$109:$Q$109,0)),"")</f>
        <v>698.09564393939399</v>
      </c>
      <c r="M109" s="21">
        <f>IFERROR(solapados_tanda1y3!$P$30*INDEX('z_datos originales'!$C$109:$Q$185,MATCH(limpieza_datos!$C109,'z_datos originales'!$C$109:$C$185,0),MATCH(limpieza_datos!$M$100,'z_datos originales'!$C$109:$Q$109,0)),"")</f>
        <v>1052.8945707070707</v>
      </c>
      <c r="N109" s="21">
        <f>IFERROR(solapados_tanda1y3!$P$30*INDEX('z_datos originales'!$C$109:$Q$185,MATCH(limpieza_datos!$C109,'z_datos originales'!$C$109:$C$185,0),MATCH(limpieza_datos!$N$100,'z_datos originales'!$C$109:$Q$109,0)),"")</f>
        <v>1132.5252525252527</v>
      </c>
      <c r="O109" s="21">
        <f>IFERROR(solapados_tanda1y3!$P$30*INDEX('z_datos originales'!$C$109:$Q$185,MATCH(limpieza_datos!$C109,'z_datos originales'!$C$109:$C$185,0),MATCH(limpieza_datos!$O$100,'z_datos originales'!$C$109:$Q$109,0)),"")</f>
        <v>2026.1584595959598</v>
      </c>
      <c r="P109" s="21">
        <f>IFERROR(solapados_tanda1y3!$P$30*INDEX('z_datos originales'!$C$109:$Q$185,MATCH(limpieza_datos!$C109,'z_datos originales'!$C$109:$C$185,0),MATCH(limpieza_datos!$P$100,'z_datos originales'!$C$109:$Q$109,0)),"")</f>
        <v>2005.8083964646466</v>
      </c>
      <c r="Q109" s="21">
        <f>IFERROR(solapados_tanda1y3!$P$30*INDEX('z_datos originales'!$C$109:$Q$185,MATCH(limpieza_datos!$C109,'z_datos originales'!$C$109:$C$185,0),MATCH(limpieza_datos!$Q$100,'z_datos originales'!$C$109:$Q$109,0)),"")</f>
        <v>18138.099747474749</v>
      </c>
      <c r="V109" t="s">
        <v>25</v>
      </c>
      <c r="W109" t="s">
        <v>25</v>
      </c>
      <c r="X109">
        <v>3</v>
      </c>
      <c r="Y109" t="s">
        <v>652</v>
      </c>
    </row>
    <row r="110" spans="1:26" x14ac:dyDescent="0.4">
      <c r="A110" s="12">
        <v>45733</v>
      </c>
      <c r="B110">
        <v>0.63611111111111107</v>
      </c>
      <c r="C110" t="s">
        <v>441</v>
      </c>
      <c r="D110" s="8" t="s">
        <v>410</v>
      </c>
      <c r="J110" t="s">
        <v>24</v>
      </c>
      <c r="K110" s="21">
        <f>IFERROR(solapados_tanda1y3!$P$30*INDEX('z_datos originales'!$C$109:$Q$185,MATCH(limpieza_datos!$C110,'z_datos originales'!$C$109:$C$185,0),MATCH(limpieza_datos!$K$100,'z_datos originales'!$C$109:$Q$109,0)),"")</f>
        <v>1504.1351010101012</v>
      </c>
      <c r="L110" s="21">
        <f>IFERROR(solapados_tanda1y3!$P$30*INDEX('z_datos originales'!$C$109:$Q$185,MATCH(limpieza_datos!$C110,'z_datos originales'!$C$109:$C$185,0),MATCH(limpieza_datos!$L$100,'z_datos originales'!$C$109:$Q$109,0)),"")</f>
        <v>884.78535353535358</v>
      </c>
      <c r="M110" s="21">
        <f>IFERROR(solapados_tanda1y3!$P$30*INDEX('z_datos originales'!$C$109:$Q$185,MATCH(limpieza_datos!$C110,'z_datos originales'!$C$109:$C$185,0),MATCH(limpieza_datos!$M$100,'z_datos originales'!$C$109:$Q$109,0)),"")</f>
        <v>1504.1351010101012</v>
      </c>
      <c r="N110" s="21">
        <f>IFERROR(solapados_tanda1y3!$P$30*INDEX('z_datos originales'!$C$109:$Q$185,MATCH(limpieza_datos!$C110,'z_datos originales'!$C$109:$C$185,0),MATCH(limpieza_datos!$N$100,'z_datos originales'!$C$109:$Q$109,0)),"")</f>
        <v>1327.1780303030305</v>
      </c>
      <c r="O110" s="21">
        <f>IFERROR(solapados_tanda1y3!$P$30*INDEX('z_datos originales'!$C$109:$Q$185,MATCH(limpieza_datos!$C110,'z_datos originales'!$C$109:$C$185,0),MATCH(limpieza_datos!$O$100,'z_datos originales'!$C$109:$Q$109,0)),"")</f>
        <v>1327.1780303030305</v>
      </c>
      <c r="P110" s="21">
        <f>IFERROR(solapados_tanda1y3!$P$30*INDEX('z_datos originales'!$C$109:$Q$185,MATCH(limpieza_datos!$C110,'z_datos originales'!$C$109:$C$185,0),MATCH(limpieza_datos!$P$100,'z_datos originales'!$C$109:$Q$109,0)),"")</f>
        <v>4246.969696969697</v>
      </c>
      <c r="Q110" s="21">
        <f>IFERROR(solapados_tanda1y3!$P$30*INDEX('z_datos originales'!$C$109:$Q$185,MATCH(limpieza_datos!$C110,'z_datos originales'!$C$109:$C$185,0),MATCH(limpieza_datos!$Q$100,'z_datos originales'!$C$109:$Q$109,0)),"")</f>
        <v>0</v>
      </c>
      <c r="V110" t="s">
        <v>26</v>
      </c>
      <c r="W110" t="s">
        <v>25</v>
      </c>
      <c r="X110">
        <v>3</v>
      </c>
      <c r="Y110" t="s">
        <v>651</v>
      </c>
    </row>
    <row r="111" spans="1:26" x14ac:dyDescent="0.4">
      <c r="A111" s="12">
        <v>45733</v>
      </c>
      <c r="B111">
        <v>0.64583333333333337</v>
      </c>
      <c r="C111" t="s">
        <v>442</v>
      </c>
      <c r="D111" s="8" t="s">
        <v>411</v>
      </c>
      <c r="J111" t="s">
        <v>24</v>
      </c>
      <c r="K111" s="21">
        <f>IFERROR(solapados_tanda1y3!$P$30*INDEX('z_datos originales'!$C$109:$Q$185,MATCH(limpieza_datos!$C111,'z_datos originales'!$C$109:$C$185,0),MATCH(limpieza_datos!$K$100,'z_datos originales'!$C$109:$Q$109,0)),"")</f>
        <v>1592.6136363636365</v>
      </c>
      <c r="L111" s="21">
        <f>IFERROR(solapados_tanda1y3!$P$30*INDEX('z_datos originales'!$C$109:$Q$185,MATCH(limpieza_datos!$C111,'z_datos originales'!$C$109:$C$185,0),MATCH(limpieza_datos!$L$100,'z_datos originales'!$C$109:$Q$109,0)),"")</f>
        <v>1061.7424242424242</v>
      </c>
      <c r="M111" s="21">
        <f>IFERROR(solapados_tanda1y3!$P$30*INDEX('z_datos originales'!$C$109:$Q$185,MATCH(limpieza_datos!$C111,'z_datos originales'!$C$109:$C$185,0),MATCH(limpieza_datos!$M$100,'z_datos originales'!$C$109:$Q$109,0)),"")</f>
        <v>1327.1780303030305</v>
      </c>
      <c r="N111" s="21">
        <f>IFERROR(solapados_tanda1y3!$P$30*INDEX('z_datos originales'!$C$109:$Q$185,MATCH(limpieza_datos!$C111,'z_datos originales'!$C$109:$C$185,0),MATCH(limpieza_datos!$N$100,'z_datos originales'!$C$109:$Q$109,0)),"")</f>
        <v>1769.5707070707072</v>
      </c>
      <c r="O111" s="21">
        <f>IFERROR(solapados_tanda1y3!$P$30*INDEX('z_datos originales'!$C$109:$Q$185,MATCH(limpieza_datos!$C111,'z_datos originales'!$C$109:$C$185,0),MATCH(limpieza_datos!$O$100,'z_datos originales'!$C$109:$Q$109,0)),"")</f>
        <v>1327.1780303030305</v>
      </c>
      <c r="P111" s="21">
        <f>IFERROR(solapados_tanda1y3!$P$30*INDEX('z_datos originales'!$C$109:$Q$185,MATCH(limpieza_datos!$C111,'z_datos originales'!$C$109:$C$185,0),MATCH(limpieza_datos!$P$100,'z_datos originales'!$C$109:$Q$109,0)),"")</f>
        <v>1504.1351010101012</v>
      </c>
      <c r="Q111" s="21">
        <f>IFERROR(solapados_tanda1y3!$P$30*INDEX('z_datos originales'!$C$109:$Q$185,MATCH(limpieza_datos!$C111,'z_datos originales'!$C$109:$C$185,0),MATCH(limpieza_datos!$Q$100,'z_datos originales'!$C$109:$Q$109,0)),"")</f>
        <v>0</v>
      </c>
      <c r="V111" t="s">
        <v>26</v>
      </c>
      <c r="W111" t="s">
        <v>25</v>
      </c>
      <c r="X111">
        <v>3</v>
      </c>
      <c r="Y111" t="s">
        <v>653</v>
      </c>
    </row>
    <row r="112" spans="1:26" x14ac:dyDescent="0.4">
      <c r="A112" s="12">
        <v>45733</v>
      </c>
      <c r="B112">
        <v>0.65902777777777777</v>
      </c>
      <c r="C112" t="s">
        <v>443</v>
      </c>
      <c r="D112" s="8" t="s">
        <v>412</v>
      </c>
      <c r="J112" t="s">
        <v>20</v>
      </c>
      <c r="K112" s="21">
        <f>IFERROR(solapados_tanda1y3!$P$30*INDEX('z_datos originales'!$C$109:$Q$185,MATCH(limpieza_datos!$C112,'z_datos originales'!$C$109:$C$185,0),MATCH(limpieza_datos!$K$100,'z_datos originales'!$C$109:$Q$109,0)),"")</f>
        <v>1052.8945707070707</v>
      </c>
      <c r="L112" s="21">
        <f>IFERROR(solapados_tanda1y3!$P$30*INDEX('z_datos originales'!$C$109:$Q$185,MATCH(limpieza_datos!$C112,'z_datos originales'!$C$109:$C$185,0),MATCH(limpieza_datos!$L$100,'z_datos originales'!$C$109:$Q$109,0)),"")</f>
        <v>698.09564393939399</v>
      </c>
      <c r="M112" s="21">
        <f>IFERROR(solapados_tanda1y3!$P$30*INDEX('z_datos originales'!$C$109:$Q$185,MATCH(limpieza_datos!$C112,'z_datos originales'!$C$109:$C$185,0),MATCH(limpieza_datos!$M$100,'z_datos originales'!$C$109:$Q$109,0)),"")</f>
        <v>1052.8945707070707</v>
      </c>
      <c r="N112" s="21">
        <f>IFERROR(solapados_tanda1y3!$P$30*INDEX('z_datos originales'!$C$109:$Q$185,MATCH(limpieza_datos!$C112,'z_datos originales'!$C$109:$C$185,0),MATCH(limpieza_datos!$N$100,'z_datos originales'!$C$109:$Q$109,0)),"")</f>
        <v>1132.5252525252527</v>
      </c>
      <c r="O112" s="21">
        <f>IFERROR(solapados_tanda1y3!$P$30*INDEX('z_datos originales'!$C$109:$Q$185,MATCH(limpieza_datos!$C112,'z_datos originales'!$C$109:$C$185,0),MATCH(limpieza_datos!$O$100,'z_datos originales'!$C$109:$Q$109,0)),"")</f>
        <v>2026.1584595959598</v>
      </c>
      <c r="P112" s="21">
        <f>IFERROR(solapados_tanda1y3!$P$30*INDEX('z_datos originales'!$C$109:$Q$185,MATCH(limpieza_datos!$C112,'z_datos originales'!$C$109:$C$185,0),MATCH(limpieza_datos!$P$100,'z_datos originales'!$C$109:$Q$109,0)),"")</f>
        <v>2005.8083964646466</v>
      </c>
      <c r="Q112" s="21">
        <f>IFERROR(solapados_tanda1y3!$P$30*INDEX('z_datos originales'!$C$109:$Q$185,MATCH(limpieza_datos!$C112,'z_datos originales'!$C$109:$C$185,0),MATCH(limpieza_datos!$Q$100,'z_datos originales'!$C$109:$Q$109,0)),"")</f>
        <v>18138.099747474749</v>
      </c>
      <c r="V112" t="s">
        <v>25</v>
      </c>
      <c r="W112" t="s">
        <v>25</v>
      </c>
      <c r="X112">
        <v>3</v>
      </c>
      <c r="Y112" t="s">
        <v>654</v>
      </c>
    </row>
    <row r="113" spans="1:26" x14ac:dyDescent="0.4">
      <c r="A113" s="12">
        <v>45733</v>
      </c>
      <c r="B113">
        <v>0.68958333333333333</v>
      </c>
      <c r="C113" t="s">
        <v>447</v>
      </c>
      <c r="D113" s="8" t="s">
        <v>416</v>
      </c>
      <c r="J113" t="s">
        <v>24</v>
      </c>
      <c r="K113" s="21">
        <f>IFERROR(solapados_tanda1y3!$P$30*INDEX('z_datos originales'!$C$109:$Q$185,MATCH(limpieza_datos!$C113,'z_datos originales'!$C$109:$C$185,0),MATCH(limpieza_datos!$K$100,'z_datos originales'!$C$109:$Q$109,0)),"")</f>
        <v>2035.0063131313132</v>
      </c>
      <c r="L113" s="21">
        <f>IFERROR(solapados_tanda1y3!$P$30*INDEX('z_datos originales'!$C$109:$Q$185,MATCH(limpieza_datos!$C113,'z_datos originales'!$C$109:$C$185,0),MATCH(limpieza_datos!$L$100,'z_datos originales'!$C$109:$Q$109,0)),"")</f>
        <v>1238.6994949494949</v>
      </c>
      <c r="M113" s="21">
        <f>IFERROR(solapados_tanda1y3!$P$30*INDEX('z_datos originales'!$C$109:$Q$185,MATCH(limpieza_datos!$C113,'z_datos originales'!$C$109:$C$185,0),MATCH(limpieza_datos!$M$100,'z_datos originales'!$C$109:$Q$109,0)),"")</f>
        <v>1681.0921717171718</v>
      </c>
      <c r="N113" s="21">
        <f>IFERROR(solapados_tanda1y3!$P$30*INDEX('z_datos originales'!$C$109:$Q$185,MATCH(limpieza_datos!$C113,'z_datos originales'!$C$109:$C$185,0),MATCH(limpieza_datos!$N$100,'z_datos originales'!$C$109:$Q$109,0)),"")</f>
        <v>2477.3989898989898</v>
      </c>
      <c r="O113" s="21">
        <f>IFERROR(solapados_tanda1y3!$P$30*INDEX('z_datos originales'!$C$109:$Q$185,MATCH(limpieza_datos!$C113,'z_datos originales'!$C$109:$C$185,0),MATCH(limpieza_datos!$O$100,'z_datos originales'!$C$109:$Q$109,0)),"")</f>
        <v>0</v>
      </c>
      <c r="P113" s="21">
        <f>IFERROR(solapados_tanda1y3!$P$30*INDEX('z_datos originales'!$C$109:$Q$185,MATCH(limpieza_datos!$C113,'z_datos originales'!$C$109:$C$185,0),MATCH(limpieza_datos!$P$100,'z_datos originales'!$C$109:$Q$109,0)),"")</f>
        <v>1946.5277777777778</v>
      </c>
      <c r="Q113" s="21">
        <f>IFERROR(solapados_tanda1y3!$P$30*INDEX('z_datos originales'!$C$109:$Q$185,MATCH(limpieza_datos!$C113,'z_datos originales'!$C$109:$C$185,0),MATCH(limpieza_datos!$Q$100,'z_datos originales'!$C$109:$Q$109,0)),"")</f>
        <v>0</v>
      </c>
      <c r="V113" t="s">
        <v>26</v>
      </c>
      <c r="W113" t="s">
        <v>25</v>
      </c>
      <c r="X113">
        <v>3</v>
      </c>
      <c r="Y113" t="s">
        <v>658</v>
      </c>
    </row>
    <row r="114" spans="1:26" x14ac:dyDescent="0.4">
      <c r="A114" s="12">
        <v>45733</v>
      </c>
      <c r="B114">
        <v>0.70833333333333337</v>
      </c>
      <c r="C114" t="s">
        <v>448</v>
      </c>
      <c r="D114" s="8" t="s">
        <v>417</v>
      </c>
      <c r="J114" t="s">
        <v>87</v>
      </c>
      <c r="K114" s="21">
        <f>IFERROR(solapados_tanda1y3!$P$30*INDEX('z_datos originales'!$C$109:$Q$185,MATCH(limpieza_datos!$C114,'z_datos originales'!$C$109:$C$185,0),MATCH(limpieza_datos!$K$100,'z_datos originales'!$C$109:$Q$109,0)),"")</f>
        <v>0</v>
      </c>
      <c r="L114" s="21">
        <f>IFERROR(solapados_tanda1y3!$P$30*INDEX('z_datos originales'!$C$109:$Q$185,MATCH(limpieza_datos!$C114,'z_datos originales'!$C$109:$C$185,0),MATCH(limpieza_datos!$L$100,'z_datos originales'!$C$109:$Q$109,0)),"")</f>
        <v>0</v>
      </c>
      <c r="M114" s="21">
        <f>IFERROR(solapados_tanda1y3!$P$30*INDEX('z_datos originales'!$C$109:$Q$185,MATCH(limpieza_datos!$C114,'z_datos originales'!$C$109:$C$185,0),MATCH(limpieza_datos!$M$100,'z_datos originales'!$C$109:$Q$109,0)),"")</f>
        <v>0</v>
      </c>
      <c r="N114" s="21">
        <f>IFERROR(solapados_tanda1y3!$P$30*INDEX('z_datos originales'!$C$109:$Q$185,MATCH(limpieza_datos!$C114,'z_datos originales'!$C$109:$C$185,0),MATCH(limpieza_datos!$N$100,'z_datos originales'!$C$109:$Q$109,0)),"")</f>
        <v>0</v>
      </c>
      <c r="O114" s="21">
        <f>IFERROR(solapados_tanda1y3!$P$30*INDEX('z_datos originales'!$C$109:$Q$185,MATCH(limpieza_datos!$C114,'z_datos originales'!$C$109:$C$185,0),MATCH(limpieza_datos!$O$100,'z_datos originales'!$C$109:$Q$109,0)),"")</f>
        <v>0</v>
      </c>
      <c r="P114" s="21">
        <f>IFERROR(solapados_tanda1y3!$P$30*INDEX('z_datos originales'!$C$109:$Q$185,MATCH(limpieza_datos!$C114,'z_datos originales'!$C$109:$C$185,0),MATCH(limpieza_datos!$P$100,'z_datos originales'!$C$109:$Q$109,0)),"")</f>
        <v>0</v>
      </c>
      <c r="Q114" s="21">
        <f>IFERROR(solapados_tanda1y3!$P$30*INDEX('z_datos originales'!$C$109:$Q$185,MATCH(limpieza_datos!$C114,'z_datos originales'!$C$109:$C$185,0),MATCH(limpieza_datos!$Q$100,'z_datos originales'!$C$109:$Q$109,0)),"")</f>
        <v>23004.419191919194</v>
      </c>
      <c r="V114" t="s">
        <v>26</v>
      </c>
      <c r="W114" t="s">
        <v>25</v>
      </c>
      <c r="X114">
        <v>3</v>
      </c>
      <c r="Y114" t="s">
        <v>657</v>
      </c>
    </row>
    <row r="115" spans="1:26" x14ac:dyDescent="0.4">
      <c r="A115" s="12">
        <v>45733</v>
      </c>
      <c r="B115">
        <v>0.71805555555555556</v>
      </c>
      <c r="C115" t="s">
        <v>449</v>
      </c>
      <c r="D115" s="8" t="s">
        <v>418</v>
      </c>
      <c r="J115" t="s">
        <v>21</v>
      </c>
      <c r="K115" s="21">
        <f>IFERROR(solapados_tanda1y3!$P$30*INDEX('z_datos originales'!$C$109:$Q$185,MATCH(limpieza_datos!$C115,'z_datos originales'!$C$109:$C$185,0),MATCH(limpieza_datos!$K$100,'z_datos originales'!$C$109:$Q$109,0)),"")</f>
        <v>0</v>
      </c>
      <c r="L115" s="21">
        <f>IFERROR(solapados_tanda1y3!$P$30*INDEX('z_datos originales'!$C$109:$Q$185,MATCH(limpieza_datos!$C115,'z_datos originales'!$C$109:$C$185,0),MATCH(limpieza_datos!$L$100,'z_datos originales'!$C$109:$Q$109,0)),"")</f>
        <v>0</v>
      </c>
      <c r="M115" s="21">
        <f>IFERROR(solapados_tanda1y3!$P$30*INDEX('z_datos originales'!$C$109:$Q$185,MATCH(limpieza_datos!$C115,'z_datos originales'!$C$109:$C$185,0),MATCH(limpieza_datos!$M$100,'z_datos originales'!$C$109:$Q$109,0)),"")</f>
        <v>0</v>
      </c>
      <c r="N115" s="21">
        <f>IFERROR(solapados_tanda1y3!$P$30*INDEX('z_datos originales'!$C$109:$Q$185,MATCH(limpieza_datos!$C115,'z_datos originales'!$C$109:$C$185,0),MATCH(limpieza_datos!$N$100,'z_datos originales'!$C$109:$Q$109,0)),"")</f>
        <v>0</v>
      </c>
      <c r="O115" s="21">
        <f>IFERROR(solapados_tanda1y3!$P$30*INDEX('z_datos originales'!$C$109:$Q$185,MATCH(limpieza_datos!$C115,'z_datos originales'!$C$109:$C$185,0),MATCH(limpieza_datos!$O$100,'z_datos originales'!$C$109:$Q$109,0)),"")</f>
        <v>0</v>
      </c>
      <c r="P115" s="21">
        <f>IFERROR(solapados_tanda1y3!$P$30*INDEX('z_datos originales'!$C$109:$Q$185,MATCH(limpieza_datos!$C115,'z_datos originales'!$C$109:$C$185,0),MATCH(limpieza_datos!$P$100,'z_datos originales'!$C$109:$Q$109,0)),"")</f>
        <v>0</v>
      </c>
      <c r="Q115" s="21">
        <f>IFERROR(solapados_tanda1y3!$P$30*INDEX('z_datos originales'!$C$109:$Q$185,MATCH(limpieza_datos!$C115,'z_datos originales'!$C$109:$C$185,0),MATCH(limpieza_datos!$Q$100,'z_datos originales'!$C$109:$Q$109,0)),"")</f>
        <v>17695.707070707071</v>
      </c>
      <c r="V115" t="s">
        <v>25</v>
      </c>
      <c r="W115" t="s">
        <v>25</v>
      </c>
      <c r="X115">
        <v>3</v>
      </c>
      <c r="Y115" t="s">
        <v>659</v>
      </c>
    </row>
    <row r="116" spans="1:26" x14ac:dyDescent="0.4">
      <c r="A116" s="12">
        <v>45733</v>
      </c>
      <c r="B116">
        <v>0.7319444444444444</v>
      </c>
      <c r="C116" t="s">
        <v>450</v>
      </c>
      <c r="D116" s="8" t="s">
        <v>419</v>
      </c>
      <c r="J116" t="s">
        <v>35</v>
      </c>
      <c r="K116" s="21">
        <f>IFERROR(solapados_tanda1y3!$P$30*INDEX('z_datos originales'!$C$109:$Q$185,MATCH(limpieza_datos!$C116,'z_datos originales'!$C$109:$C$185,0),MATCH(limpieza_datos!$K$100,'z_datos originales'!$C$109:$Q$109,0)),"")</f>
        <v>0</v>
      </c>
      <c r="L116" s="21">
        <f>IFERROR(solapados_tanda1y3!$P$30*INDEX('z_datos originales'!$C$109:$Q$185,MATCH(limpieza_datos!$C116,'z_datos originales'!$C$109:$C$185,0),MATCH(limpieza_datos!$L$100,'z_datos originales'!$C$109:$Q$109,0)),"")</f>
        <v>0</v>
      </c>
      <c r="M116" s="21">
        <f>IFERROR(solapados_tanda1y3!$P$30*INDEX('z_datos originales'!$C$109:$Q$185,MATCH(limpieza_datos!$C116,'z_datos originales'!$C$109:$C$185,0),MATCH(limpieza_datos!$M$100,'z_datos originales'!$C$109:$Q$109,0)),"")</f>
        <v>0</v>
      </c>
      <c r="N116" s="21">
        <f>IFERROR(solapados_tanda1y3!$P$30*INDEX('z_datos originales'!$C$109:$Q$185,MATCH(limpieza_datos!$C116,'z_datos originales'!$C$109:$C$185,0),MATCH(limpieza_datos!$N$100,'z_datos originales'!$C$109:$Q$109,0)),"")</f>
        <v>0</v>
      </c>
      <c r="O116" s="21">
        <f>IFERROR(solapados_tanda1y3!$P$30*INDEX('z_datos originales'!$C$109:$Q$185,MATCH(limpieza_datos!$C116,'z_datos originales'!$C$109:$C$185,0),MATCH(limpieza_datos!$O$100,'z_datos originales'!$C$109:$Q$109,0)),"")</f>
        <v>884.78535353535358</v>
      </c>
      <c r="P116" s="21">
        <f>IFERROR(solapados_tanda1y3!$P$30*INDEX('z_datos originales'!$C$109:$Q$185,MATCH(limpieza_datos!$C116,'z_datos originales'!$C$109:$C$185,0),MATCH(limpieza_datos!$P$100,'z_datos originales'!$C$109:$Q$109,0)),"")</f>
        <v>0</v>
      </c>
      <c r="Q116" s="21">
        <f>IFERROR(solapados_tanda1y3!$P$30*INDEX('z_datos originales'!$C$109:$Q$185,MATCH(limpieza_datos!$C116,'z_datos originales'!$C$109:$C$185,0),MATCH(limpieza_datos!$Q$100,'z_datos originales'!$C$109:$Q$109,0)),"")</f>
        <v>0</v>
      </c>
      <c r="V116" t="s">
        <v>26</v>
      </c>
      <c r="W116" t="s">
        <v>25</v>
      </c>
      <c r="X116">
        <v>3</v>
      </c>
      <c r="Y116" t="s">
        <v>660</v>
      </c>
    </row>
    <row r="117" spans="1:26" x14ac:dyDescent="0.4">
      <c r="A117" s="12">
        <v>45733</v>
      </c>
      <c r="B117">
        <v>0.73402777777777772</v>
      </c>
      <c r="C117" t="s">
        <v>451</v>
      </c>
      <c r="D117" s="8" t="s">
        <v>420</v>
      </c>
      <c r="J117" t="s">
        <v>21</v>
      </c>
      <c r="K117" s="21">
        <f>IFERROR(solapados_tanda1y3!$P$30*INDEX('z_datos originales'!$C$109:$Q$185,MATCH(limpieza_datos!$C117,'z_datos originales'!$C$109:$C$185,0),MATCH(limpieza_datos!$K$100,'z_datos originales'!$C$109:$Q$109,0)),"")</f>
        <v>0</v>
      </c>
      <c r="L117" s="21">
        <f>IFERROR(solapados_tanda1y3!$P$30*INDEX('z_datos originales'!$C$109:$Q$185,MATCH(limpieza_datos!$C117,'z_datos originales'!$C$109:$C$185,0),MATCH(limpieza_datos!$L$100,'z_datos originales'!$C$109:$Q$109,0)),"")</f>
        <v>0</v>
      </c>
      <c r="M117" s="21">
        <f>IFERROR(solapados_tanda1y3!$P$30*INDEX('z_datos originales'!$C$109:$Q$185,MATCH(limpieza_datos!$C117,'z_datos originales'!$C$109:$C$185,0),MATCH(limpieza_datos!$M$100,'z_datos originales'!$C$109:$Q$109,0)),"")</f>
        <v>0</v>
      </c>
      <c r="N117" s="21">
        <f>IFERROR(solapados_tanda1y3!$P$30*INDEX('z_datos originales'!$C$109:$Q$185,MATCH(limpieza_datos!$C117,'z_datos originales'!$C$109:$C$185,0),MATCH(limpieza_datos!$N$100,'z_datos originales'!$C$109:$Q$109,0)),"")</f>
        <v>0</v>
      </c>
      <c r="O117" s="21">
        <f>IFERROR(solapados_tanda1y3!$P$30*INDEX('z_datos originales'!$C$109:$Q$185,MATCH(limpieza_datos!$C117,'z_datos originales'!$C$109:$C$185,0),MATCH(limpieza_datos!$O$100,'z_datos originales'!$C$109:$Q$109,0)),"")</f>
        <v>0</v>
      </c>
      <c r="P117" s="21">
        <f>IFERROR(solapados_tanda1y3!$P$30*INDEX('z_datos originales'!$C$109:$Q$185,MATCH(limpieza_datos!$C117,'z_datos originales'!$C$109:$C$185,0),MATCH(limpieza_datos!$P$100,'z_datos originales'!$C$109:$Q$109,0)),"")</f>
        <v>0</v>
      </c>
      <c r="Q117" s="21">
        <f>IFERROR(solapados_tanda1y3!$P$30*INDEX('z_datos originales'!$C$109:$Q$185,MATCH(limpieza_datos!$C117,'z_datos originales'!$C$109:$C$185,0),MATCH(limpieza_datos!$Q$100,'z_datos originales'!$C$109:$Q$109,0)),"")</f>
        <v>17695.707070707071</v>
      </c>
      <c r="V117" t="s">
        <v>25</v>
      </c>
      <c r="W117" t="s">
        <v>25</v>
      </c>
      <c r="X117">
        <v>3</v>
      </c>
      <c r="Y117" t="s">
        <v>661</v>
      </c>
    </row>
    <row r="118" spans="1:26" x14ac:dyDescent="0.4">
      <c r="A118" s="12">
        <v>45733</v>
      </c>
      <c r="B118">
        <v>0.74236111111111114</v>
      </c>
      <c r="C118" t="s">
        <v>452</v>
      </c>
      <c r="D118" s="8" t="s">
        <v>421</v>
      </c>
      <c r="J118" t="s">
        <v>20</v>
      </c>
      <c r="K118" s="21">
        <f>IFERROR(solapados_tanda1y3!$P$30*INDEX('z_datos originales'!$C$109:$Q$185,MATCH(limpieza_datos!$C118,'z_datos originales'!$C$109:$C$185,0),MATCH(limpieza_datos!$K$100,'z_datos originales'!$C$109:$Q$109,0)),"")</f>
        <v>1052.8945707070707</v>
      </c>
      <c r="L118" s="21">
        <f>IFERROR(solapados_tanda1y3!$P$30*INDEX('z_datos originales'!$C$109:$Q$185,MATCH(limpieza_datos!$C118,'z_datos originales'!$C$109:$C$185,0),MATCH(limpieza_datos!$L$100,'z_datos originales'!$C$109:$Q$109,0)),"")</f>
        <v>698.09564393939399</v>
      </c>
      <c r="M118" s="21">
        <f>IFERROR(solapados_tanda1y3!$P$30*INDEX('z_datos originales'!$C$109:$Q$185,MATCH(limpieza_datos!$C118,'z_datos originales'!$C$109:$C$185,0),MATCH(limpieza_datos!$M$100,'z_datos originales'!$C$109:$Q$109,0)),"")</f>
        <v>1052.8945707070707</v>
      </c>
      <c r="N118" s="21">
        <f>IFERROR(solapados_tanda1y3!$P$30*INDEX('z_datos originales'!$C$109:$Q$185,MATCH(limpieza_datos!$C118,'z_datos originales'!$C$109:$C$185,0),MATCH(limpieza_datos!$N$100,'z_datos originales'!$C$109:$Q$109,0)),"")</f>
        <v>1132.5252525252527</v>
      </c>
      <c r="O118" s="21">
        <f>IFERROR(solapados_tanda1y3!$P$30*INDEX('z_datos originales'!$C$109:$Q$185,MATCH(limpieza_datos!$C118,'z_datos originales'!$C$109:$C$185,0),MATCH(limpieza_datos!$O$100,'z_datos originales'!$C$109:$Q$109,0)),"")</f>
        <v>2026.1584595959598</v>
      </c>
      <c r="P118" s="21">
        <f>IFERROR(solapados_tanda1y3!$P$30*INDEX('z_datos originales'!$C$109:$Q$185,MATCH(limpieza_datos!$C118,'z_datos originales'!$C$109:$C$185,0),MATCH(limpieza_datos!$P$100,'z_datos originales'!$C$109:$Q$109,0)),"")</f>
        <v>2005.8083964646466</v>
      </c>
      <c r="Q118" s="21">
        <f>IFERROR(solapados_tanda1y3!$P$30*INDEX('z_datos originales'!$C$109:$Q$185,MATCH(limpieza_datos!$C118,'z_datos originales'!$C$109:$C$185,0),MATCH(limpieza_datos!$Q$100,'z_datos originales'!$C$109:$Q$109,0)),"")</f>
        <v>18138.099747474749</v>
      </c>
      <c r="V118" t="s">
        <v>25</v>
      </c>
      <c r="W118" t="s">
        <v>25</v>
      </c>
      <c r="X118">
        <v>3</v>
      </c>
      <c r="Y118" t="s">
        <v>662</v>
      </c>
    </row>
    <row r="119" spans="1:26" x14ac:dyDescent="0.4">
      <c r="A119" s="12">
        <v>45733</v>
      </c>
      <c r="B119">
        <v>0.74305555555555558</v>
      </c>
      <c r="C119" t="s">
        <v>453</v>
      </c>
      <c r="D119" s="8" t="s">
        <v>422</v>
      </c>
      <c r="J119" t="s">
        <v>87</v>
      </c>
      <c r="K119" s="21">
        <f>IFERROR(solapados_tanda1y3!$P$30*INDEX('z_datos originales'!$C$109:$Q$185,MATCH(limpieza_datos!$C119,'z_datos originales'!$C$109:$C$185,0),MATCH(limpieza_datos!$K$100,'z_datos originales'!$C$109:$Q$109,0)),"")</f>
        <v>0</v>
      </c>
      <c r="L119" s="21">
        <f>IFERROR(solapados_tanda1y3!$P$30*INDEX('z_datos originales'!$C$109:$Q$185,MATCH(limpieza_datos!$C119,'z_datos originales'!$C$109:$C$185,0),MATCH(limpieza_datos!$L$100,'z_datos originales'!$C$109:$Q$109,0)),"")</f>
        <v>0</v>
      </c>
      <c r="M119" s="21">
        <f>IFERROR(solapados_tanda1y3!$P$30*INDEX('z_datos originales'!$C$109:$Q$185,MATCH(limpieza_datos!$C119,'z_datos originales'!$C$109:$C$185,0),MATCH(limpieza_datos!$M$100,'z_datos originales'!$C$109:$Q$109,0)),"")</f>
        <v>0</v>
      </c>
      <c r="N119" s="21">
        <f>IFERROR(solapados_tanda1y3!$P$30*INDEX('z_datos originales'!$C$109:$Q$185,MATCH(limpieza_datos!$C119,'z_datos originales'!$C$109:$C$185,0),MATCH(limpieza_datos!$N$100,'z_datos originales'!$C$109:$Q$109,0)),"")</f>
        <v>0</v>
      </c>
      <c r="O119" s="21">
        <f>IFERROR(solapados_tanda1y3!$P$30*INDEX('z_datos originales'!$C$109:$Q$185,MATCH(limpieza_datos!$C119,'z_datos originales'!$C$109:$C$185,0),MATCH(limpieza_datos!$O$100,'z_datos originales'!$C$109:$Q$109,0)),"")</f>
        <v>0</v>
      </c>
      <c r="P119" s="21">
        <f>IFERROR(solapados_tanda1y3!$P$30*INDEX('z_datos originales'!$C$109:$Q$185,MATCH(limpieza_datos!$C119,'z_datos originales'!$C$109:$C$185,0),MATCH(limpieza_datos!$P$100,'z_datos originales'!$C$109:$Q$109,0)),"")</f>
        <v>0</v>
      </c>
      <c r="Q119" s="21">
        <f>IFERROR(solapados_tanda1y3!$P$30*INDEX('z_datos originales'!$C$109:$Q$185,MATCH(limpieza_datos!$C119,'z_datos originales'!$C$109:$C$185,0),MATCH(limpieza_datos!$Q$100,'z_datos originales'!$C$109:$Q$109,0)),"")</f>
        <v>14156.565656565657</v>
      </c>
      <c r="V119" t="s">
        <v>26</v>
      </c>
      <c r="W119" t="s">
        <v>25</v>
      </c>
      <c r="X119">
        <v>3</v>
      </c>
      <c r="Y119" t="s">
        <v>663</v>
      </c>
    </row>
    <row r="120" spans="1:26" x14ac:dyDescent="0.4">
      <c r="A120" s="12">
        <v>45733</v>
      </c>
      <c r="B120">
        <v>0.74375000000000002</v>
      </c>
      <c r="C120" t="s">
        <v>454</v>
      </c>
      <c r="D120" s="8" t="s">
        <v>423</v>
      </c>
      <c r="J120" t="s">
        <v>35</v>
      </c>
      <c r="K120" s="21">
        <f>IFERROR(solapados_tanda1y3!$P$30*INDEX('z_datos originales'!$C$109:$Q$185,MATCH(limpieza_datos!$C120,'z_datos originales'!$C$109:$C$185,0),MATCH(limpieza_datos!$K$100,'z_datos originales'!$C$109:$Q$109,0)),"")</f>
        <v>0</v>
      </c>
      <c r="L120" s="21">
        <f>IFERROR(solapados_tanda1y3!$P$30*INDEX('z_datos originales'!$C$109:$Q$185,MATCH(limpieza_datos!$C120,'z_datos originales'!$C$109:$C$185,0),MATCH(limpieza_datos!$L$100,'z_datos originales'!$C$109:$Q$109,0)),"")</f>
        <v>0</v>
      </c>
      <c r="M120" s="21">
        <f>IFERROR(solapados_tanda1y3!$P$30*INDEX('z_datos originales'!$C$109:$Q$185,MATCH(limpieza_datos!$C120,'z_datos originales'!$C$109:$C$185,0),MATCH(limpieza_datos!$M$100,'z_datos originales'!$C$109:$Q$109,0)),"")</f>
        <v>0</v>
      </c>
      <c r="N120" s="21">
        <f>IFERROR(solapados_tanda1y3!$P$30*INDEX('z_datos originales'!$C$109:$Q$185,MATCH(limpieza_datos!$C120,'z_datos originales'!$C$109:$C$185,0),MATCH(limpieza_datos!$N$100,'z_datos originales'!$C$109:$Q$109,0)),"")</f>
        <v>0</v>
      </c>
      <c r="O120" s="21">
        <f>IFERROR(solapados_tanda1y3!$P$30*INDEX('z_datos originales'!$C$109:$Q$185,MATCH(limpieza_datos!$C120,'z_datos originales'!$C$109:$C$185,0),MATCH(limpieza_datos!$O$100,'z_datos originales'!$C$109:$Q$109,0)),"")</f>
        <v>1327.1780303030305</v>
      </c>
      <c r="P120" s="21">
        <f>IFERROR(solapados_tanda1y3!$P$30*INDEX('z_datos originales'!$C$109:$Q$185,MATCH(limpieza_datos!$C120,'z_datos originales'!$C$109:$C$185,0),MATCH(limpieza_datos!$P$100,'z_datos originales'!$C$109:$Q$109,0)),"")</f>
        <v>0</v>
      </c>
      <c r="Q120" s="21">
        <f>IFERROR(solapados_tanda1y3!$P$30*INDEX('z_datos originales'!$C$109:$Q$185,MATCH(limpieza_datos!$C120,'z_datos originales'!$C$109:$C$185,0),MATCH(limpieza_datos!$Q$100,'z_datos originales'!$C$109:$Q$109,0)),"")</f>
        <v>0</v>
      </c>
      <c r="V120" t="s">
        <v>26</v>
      </c>
      <c r="W120" t="s">
        <v>25</v>
      </c>
      <c r="X120">
        <v>3</v>
      </c>
      <c r="Y120" t="s">
        <v>664</v>
      </c>
    </row>
    <row r="121" spans="1:26" s="15" customFormat="1" x14ac:dyDescent="0.4">
      <c r="A121" s="14"/>
      <c r="D121" s="16"/>
      <c r="K121" s="15" t="s">
        <v>5</v>
      </c>
      <c r="L121" s="15" t="s">
        <v>243</v>
      </c>
      <c r="M121" s="15" t="s">
        <v>6</v>
      </c>
      <c r="N121" s="15" t="s">
        <v>7</v>
      </c>
      <c r="O121" s="15" t="s">
        <v>8</v>
      </c>
      <c r="P121" s="15" t="s">
        <v>9</v>
      </c>
      <c r="Q121" s="15" t="s">
        <v>10</v>
      </c>
      <c r="R121" s="15" t="s">
        <v>11</v>
      </c>
      <c r="S121" s="15" t="s">
        <v>12</v>
      </c>
      <c r="T121" s="15" t="s">
        <v>13</v>
      </c>
      <c r="U121" s="15" t="s">
        <v>14</v>
      </c>
      <c r="V121" s="15" t="s">
        <v>244</v>
      </c>
      <c r="W121" s="15" t="s">
        <v>15</v>
      </c>
      <c r="X121" s="15" t="s">
        <v>259</v>
      </c>
      <c r="Y121" s="15" t="s">
        <v>237</v>
      </c>
      <c r="Z121" s="15" t="s">
        <v>16</v>
      </c>
    </row>
    <row r="122" spans="1:26" x14ac:dyDescent="0.4">
      <c r="A122" s="12">
        <v>45734</v>
      </c>
      <c r="B122" t="s">
        <v>488</v>
      </c>
      <c r="C122" t="s">
        <v>706</v>
      </c>
      <c r="D122" s="8" t="s">
        <v>489</v>
      </c>
      <c r="J122" t="s">
        <v>20</v>
      </c>
      <c r="X122">
        <v>4</v>
      </c>
      <c r="Y122" t="s">
        <v>666</v>
      </c>
    </row>
    <row r="123" spans="1:26" x14ac:dyDescent="0.4">
      <c r="A123" s="12">
        <v>45734</v>
      </c>
      <c r="B123" t="s">
        <v>488</v>
      </c>
      <c r="C123" t="s">
        <v>707</v>
      </c>
      <c r="D123" s="8" t="s">
        <v>490</v>
      </c>
      <c r="J123" t="s">
        <v>47</v>
      </c>
      <c r="X123">
        <v>4</v>
      </c>
      <c r="Y123" t="s">
        <v>806</v>
      </c>
    </row>
    <row r="124" spans="1:26" x14ac:dyDescent="0.4">
      <c r="A124" s="12">
        <v>45734</v>
      </c>
      <c r="B124" t="s">
        <v>488</v>
      </c>
      <c r="C124" t="s">
        <v>708</v>
      </c>
      <c r="D124" s="8" t="s">
        <v>494</v>
      </c>
      <c r="J124" t="s">
        <v>24</v>
      </c>
      <c r="X124">
        <v>4</v>
      </c>
      <c r="Y124" t="s">
        <v>667</v>
      </c>
    </row>
    <row r="125" spans="1:26" x14ac:dyDescent="0.4">
      <c r="A125" s="12">
        <v>45734</v>
      </c>
      <c r="B125" t="s">
        <v>488</v>
      </c>
      <c r="C125" t="s">
        <v>710</v>
      </c>
      <c r="D125" s="8" t="s">
        <v>497</v>
      </c>
      <c r="J125" t="s">
        <v>20</v>
      </c>
      <c r="X125">
        <v>4</v>
      </c>
      <c r="Y125" t="s">
        <v>669</v>
      </c>
    </row>
    <row r="126" spans="1:26" x14ac:dyDescent="0.4">
      <c r="A126" s="12">
        <v>45734</v>
      </c>
      <c r="B126" t="s">
        <v>488</v>
      </c>
      <c r="C126" t="s">
        <v>711</v>
      </c>
      <c r="D126" s="8" t="s">
        <v>500</v>
      </c>
      <c r="J126" t="s">
        <v>35</v>
      </c>
      <c r="X126">
        <v>4</v>
      </c>
      <c r="Y126" t="s">
        <v>670</v>
      </c>
    </row>
    <row r="127" spans="1:26" x14ac:dyDescent="0.4">
      <c r="A127" s="12">
        <v>45734</v>
      </c>
      <c r="B127" t="s">
        <v>488</v>
      </c>
      <c r="C127" t="s">
        <v>712</v>
      </c>
      <c r="D127" s="8" t="s">
        <v>501</v>
      </c>
      <c r="J127" t="s">
        <v>502</v>
      </c>
      <c r="X127">
        <v>4</v>
      </c>
      <c r="Y127" t="s">
        <v>805</v>
      </c>
    </row>
    <row r="128" spans="1:26" x14ac:dyDescent="0.4">
      <c r="A128" s="12">
        <v>45734</v>
      </c>
      <c r="B128" t="s">
        <v>488</v>
      </c>
      <c r="C128" t="s">
        <v>713</v>
      </c>
      <c r="D128" s="8" t="s">
        <v>503</v>
      </c>
      <c r="J128" t="s">
        <v>24</v>
      </c>
      <c r="X128">
        <v>4</v>
      </c>
      <c r="Y128" t="s">
        <v>671</v>
      </c>
    </row>
    <row r="129" spans="1:25" x14ac:dyDescent="0.4">
      <c r="A129" s="12">
        <v>45734</v>
      </c>
      <c r="B129" t="s">
        <v>488</v>
      </c>
      <c r="C129" t="s">
        <v>714</v>
      </c>
      <c r="D129" s="8" t="s">
        <v>506</v>
      </c>
      <c r="J129" t="s">
        <v>24</v>
      </c>
      <c r="X129">
        <v>4</v>
      </c>
      <c r="Y129" t="s">
        <v>804</v>
      </c>
    </row>
    <row r="130" spans="1:25" x14ac:dyDescent="0.4">
      <c r="A130" s="12">
        <v>45734</v>
      </c>
      <c r="B130" t="s">
        <v>488</v>
      </c>
      <c r="C130" t="s">
        <v>715</v>
      </c>
      <c r="D130" s="8" t="s">
        <v>508</v>
      </c>
      <c r="J130" t="s">
        <v>24</v>
      </c>
      <c r="X130">
        <v>4</v>
      </c>
      <c r="Y130" t="s">
        <v>672</v>
      </c>
    </row>
    <row r="131" spans="1:25" x14ac:dyDescent="0.4">
      <c r="A131" s="12">
        <v>45734</v>
      </c>
      <c r="B131" t="s">
        <v>488</v>
      </c>
      <c r="C131" t="s">
        <v>716</v>
      </c>
      <c r="D131" s="8" t="s">
        <v>510</v>
      </c>
      <c r="J131" t="s">
        <v>20</v>
      </c>
      <c r="X131">
        <v>4</v>
      </c>
      <c r="Y131" t="s">
        <v>673</v>
      </c>
    </row>
    <row r="132" spans="1:25" x14ac:dyDescent="0.4">
      <c r="A132" s="12">
        <v>45734</v>
      </c>
      <c r="B132" t="s">
        <v>488</v>
      </c>
      <c r="C132" t="s">
        <v>717</v>
      </c>
      <c r="D132" s="8" t="s">
        <v>512</v>
      </c>
      <c r="J132" t="s">
        <v>24</v>
      </c>
      <c r="X132">
        <v>4</v>
      </c>
      <c r="Y132" t="s">
        <v>803</v>
      </c>
    </row>
    <row r="133" spans="1:25" x14ac:dyDescent="0.4">
      <c r="A133" s="12">
        <v>45734</v>
      </c>
      <c r="B133" t="s">
        <v>488</v>
      </c>
      <c r="C133" t="s">
        <v>718</v>
      </c>
      <c r="D133" s="8" t="s">
        <v>514</v>
      </c>
      <c r="J133" t="s">
        <v>20</v>
      </c>
      <c r="X133">
        <v>4</v>
      </c>
      <c r="Y133" t="s">
        <v>802</v>
      </c>
    </row>
    <row r="134" spans="1:25" x14ac:dyDescent="0.4">
      <c r="A134" s="12">
        <v>45734</v>
      </c>
      <c r="B134" t="s">
        <v>488</v>
      </c>
      <c r="C134" t="s">
        <v>719</v>
      </c>
      <c r="D134" s="8" t="s">
        <v>516</v>
      </c>
      <c r="J134" t="s">
        <v>20</v>
      </c>
      <c r="X134">
        <v>4</v>
      </c>
      <c r="Y134" t="s">
        <v>801</v>
      </c>
    </row>
    <row r="135" spans="1:25" x14ac:dyDescent="0.4">
      <c r="A135" s="12">
        <v>45734</v>
      </c>
      <c r="B135" t="s">
        <v>488</v>
      </c>
      <c r="C135" t="s">
        <v>720</v>
      </c>
      <c r="D135" s="8" t="s">
        <v>518</v>
      </c>
      <c r="J135" t="s">
        <v>47</v>
      </c>
      <c r="X135">
        <v>4</v>
      </c>
      <c r="Y135" t="s">
        <v>674</v>
      </c>
    </row>
    <row r="136" spans="1:25" x14ac:dyDescent="0.4">
      <c r="A136" s="12">
        <v>45734</v>
      </c>
      <c r="B136" t="s">
        <v>488</v>
      </c>
      <c r="C136" t="s">
        <v>723</v>
      </c>
      <c r="D136" s="8" t="s">
        <v>524</v>
      </c>
      <c r="J136" t="s">
        <v>58</v>
      </c>
      <c r="X136">
        <v>4</v>
      </c>
      <c r="Y136" t="s">
        <v>677</v>
      </c>
    </row>
    <row r="137" spans="1:25" x14ac:dyDescent="0.4">
      <c r="A137" s="12">
        <v>45734</v>
      </c>
      <c r="B137" t="s">
        <v>488</v>
      </c>
      <c r="C137" t="s">
        <v>725</v>
      </c>
      <c r="D137" s="8" t="s">
        <v>528</v>
      </c>
      <c r="J137" t="s">
        <v>20</v>
      </c>
      <c r="X137">
        <v>4</v>
      </c>
      <c r="Y137" t="s">
        <v>678</v>
      </c>
    </row>
    <row r="138" spans="1:25" x14ac:dyDescent="0.4">
      <c r="A138" s="12">
        <v>45734</v>
      </c>
      <c r="B138" t="s">
        <v>488</v>
      </c>
      <c r="C138" t="s">
        <v>729</v>
      </c>
      <c r="D138" s="8" t="s">
        <v>536</v>
      </c>
      <c r="J138" t="s">
        <v>37</v>
      </c>
      <c r="X138">
        <v>4</v>
      </c>
      <c r="Y138" t="s">
        <v>682</v>
      </c>
    </row>
    <row r="139" spans="1:25" x14ac:dyDescent="0.4">
      <c r="A139" s="12">
        <v>45734</v>
      </c>
      <c r="B139" t="s">
        <v>488</v>
      </c>
      <c r="C139" t="s">
        <v>730</v>
      </c>
      <c r="D139" s="8" t="s">
        <v>538</v>
      </c>
      <c r="J139" t="s">
        <v>24</v>
      </c>
      <c r="X139">
        <v>4</v>
      </c>
      <c r="Y139" t="s">
        <v>683</v>
      </c>
    </row>
    <row r="140" spans="1:25" x14ac:dyDescent="0.4">
      <c r="A140" s="12">
        <v>45734</v>
      </c>
      <c r="B140" t="s">
        <v>488</v>
      </c>
      <c r="C140" t="s">
        <v>731</v>
      </c>
      <c r="D140" s="8" t="s">
        <v>540</v>
      </c>
      <c r="J140" t="s">
        <v>24</v>
      </c>
      <c r="X140">
        <v>4</v>
      </c>
      <c r="Y140" t="s">
        <v>684</v>
      </c>
    </row>
    <row r="141" spans="1:25" x14ac:dyDescent="0.4">
      <c r="A141" s="12">
        <v>45734</v>
      </c>
      <c r="B141" t="s">
        <v>488</v>
      </c>
      <c r="C141" t="s">
        <v>732</v>
      </c>
      <c r="D141" s="8" t="s">
        <v>542</v>
      </c>
      <c r="J141" t="s">
        <v>35</v>
      </c>
      <c r="X141">
        <v>4</v>
      </c>
      <c r="Y141" t="s">
        <v>800</v>
      </c>
    </row>
    <row r="142" spans="1:25" x14ac:dyDescent="0.4">
      <c r="A142" s="12">
        <v>45734</v>
      </c>
      <c r="B142" t="s">
        <v>488</v>
      </c>
      <c r="C142" t="s">
        <v>734</v>
      </c>
      <c r="D142" s="8" t="s">
        <v>546</v>
      </c>
      <c r="J142" t="s">
        <v>20</v>
      </c>
      <c r="X142">
        <v>4</v>
      </c>
      <c r="Y142" t="s">
        <v>685</v>
      </c>
    </row>
    <row r="143" spans="1:25" x14ac:dyDescent="0.4">
      <c r="A143" s="12">
        <v>45734</v>
      </c>
      <c r="B143" t="s">
        <v>488</v>
      </c>
      <c r="C143" t="s">
        <v>735</v>
      </c>
      <c r="D143" s="8" t="s">
        <v>548</v>
      </c>
      <c r="J143" t="s">
        <v>35</v>
      </c>
      <c r="X143">
        <v>4</v>
      </c>
      <c r="Y143" t="s">
        <v>798</v>
      </c>
    </row>
    <row r="144" spans="1:25" x14ac:dyDescent="0.4">
      <c r="A144" s="12">
        <v>45734</v>
      </c>
      <c r="B144" t="s">
        <v>488</v>
      </c>
      <c r="C144" t="s">
        <v>737</v>
      </c>
      <c r="D144" s="8" t="s">
        <v>552</v>
      </c>
      <c r="J144" t="s">
        <v>20</v>
      </c>
      <c r="X144">
        <v>4</v>
      </c>
      <c r="Y144" t="s">
        <v>796</v>
      </c>
    </row>
    <row r="145" spans="1:25" x14ac:dyDescent="0.4">
      <c r="A145" s="12">
        <v>45734</v>
      </c>
      <c r="B145" t="s">
        <v>488</v>
      </c>
      <c r="C145" t="s">
        <v>739</v>
      </c>
      <c r="D145" s="8" t="s">
        <v>556</v>
      </c>
      <c r="J145" t="s">
        <v>37</v>
      </c>
      <c r="X145">
        <v>4</v>
      </c>
      <c r="Y145" t="s">
        <v>686</v>
      </c>
    </row>
    <row r="146" spans="1:25" x14ac:dyDescent="0.4">
      <c r="A146" s="12">
        <v>45734</v>
      </c>
      <c r="B146" t="s">
        <v>488</v>
      </c>
      <c r="C146" t="s">
        <v>740</v>
      </c>
      <c r="D146" s="8" t="s">
        <v>558</v>
      </c>
      <c r="J146" t="s">
        <v>47</v>
      </c>
      <c r="X146">
        <v>4</v>
      </c>
      <c r="Y146" t="s">
        <v>795</v>
      </c>
    </row>
    <row r="147" spans="1:25" x14ac:dyDescent="0.4">
      <c r="A147" s="12">
        <v>45734</v>
      </c>
      <c r="B147" t="s">
        <v>488</v>
      </c>
      <c r="C147" t="s">
        <v>741</v>
      </c>
      <c r="D147" s="8" t="s">
        <v>560</v>
      </c>
      <c r="J147" t="s">
        <v>35</v>
      </c>
      <c r="X147">
        <v>4</v>
      </c>
      <c r="Y147" t="s">
        <v>687</v>
      </c>
    </row>
    <row r="148" spans="1:25" x14ac:dyDescent="0.4">
      <c r="A148" s="12">
        <v>45734</v>
      </c>
      <c r="B148" t="s">
        <v>488</v>
      </c>
      <c r="C148" t="s">
        <v>742</v>
      </c>
      <c r="D148" s="8" t="s">
        <v>562</v>
      </c>
      <c r="J148" t="s">
        <v>47</v>
      </c>
      <c r="X148">
        <v>4</v>
      </c>
      <c r="Y148" t="s">
        <v>809</v>
      </c>
    </row>
    <row r="149" spans="1:25" x14ac:dyDescent="0.4">
      <c r="A149" s="12">
        <v>45734</v>
      </c>
      <c r="B149" t="s">
        <v>488</v>
      </c>
      <c r="C149" t="s">
        <v>743</v>
      </c>
      <c r="D149" s="8" t="s">
        <v>564</v>
      </c>
      <c r="J149" t="s">
        <v>37</v>
      </c>
      <c r="X149">
        <v>4</v>
      </c>
      <c r="Y149" t="s">
        <v>779</v>
      </c>
    </row>
    <row r="150" spans="1:25" x14ac:dyDescent="0.4">
      <c r="A150" s="12">
        <v>45734</v>
      </c>
      <c r="B150" t="s">
        <v>488</v>
      </c>
      <c r="C150" t="s">
        <v>744</v>
      </c>
      <c r="D150" s="8" t="s">
        <v>566</v>
      </c>
      <c r="J150" t="s">
        <v>60</v>
      </c>
      <c r="X150">
        <v>4</v>
      </c>
      <c r="Y150" t="s">
        <v>688</v>
      </c>
    </row>
    <row r="151" spans="1:25" x14ac:dyDescent="0.4">
      <c r="A151" s="12">
        <v>45734</v>
      </c>
      <c r="B151" t="s">
        <v>488</v>
      </c>
      <c r="C151" t="s">
        <v>745</v>
      </c>
      <c r="D151" s="8" t="s">
        <v>568</v>
      </c>
      <c r="J151" t="s">
        <v>20</v>
      </c>
      <c r="X151">
        <v>4</v>
      </c>
      <c r="Y151" t="s">
        <v>689</v>
      </c>
    </row>
    <row r="152" spans="1:25" x14ac:dyDescent="0.4">
      <c r="A152" s="12">
        <v>45734</v>
      </c>
      <c r="B152" t="s">
        <v>488</v>
      </c>
      <c r="C152" t="s">
        <v>747</v>
      </c>
      <c r="D152" s="8" t="s">
        <v>572</v>
      </c>
      <c r="J152" t="s">
        <v>35</v>
      </c>
      <c r="X152">
        <v>4</v>
      </c>
      <c r="Y152" t="s">
        <v>794</v>
      </c>
    </row>
    <row r="153" spans="1:25" x14ac:dyDescent="0.4">
      <c r="A153" s="12">
        <v>45734</v>
      </c>
      <c r="B153" t="s">
        <v>488</v>
      </c>
      <c r="C153" t="s">
        <v>750</v>
      </c>
      <c r="D153" s="8" t="s">
        <v>578</v>
      </c>
      <c r="J153" t="s">
        <v>35</v>
      </c>
      <c r="X153">
        <v>4</v>
      </c>
      <c r="Y153" t="s">
        <v>690</v>
      </c>
    </row>
    <row r="154" spans="1:25" x14ac:dyDescent="0.4">
      <c r="A154" s="12">
        <v>45734</v>
      </c>
      <c r="B154" t="s">
        <v>488</v>
      </c>
      <c r="C154" t="s">
        <v>752</v>
      </c>
      <c r="D154" s="8" t="s">
        <v>582</v>
      </c>
      <c r="J154" t="s">
        <v>35</v>
      </c>
      <c r="X154">
        <v>4</v>
      </c>
      <c r="Y154" t="s">
        <v>785</v>
      </c>
    </row>
    <row r="155" spans="1:25" x14ac:dyDescent="0.4">
      <c r="A155" s="12">
        <v>45734</v>
      </c>
      <c r="B155" t="s">
        <v>488</v>
      </c>
      <c r="C155" t="s">
        <v>754</v>
      </c>
      <c r="D155" s="8" t="s">
        <v>586</v>
      </c>
      <c r="J155" t="s">
        <v>47</v>
      </c>
      <c r="X155">
        <v>4</v>
      </c>
      <c r="Y155" t="s">
        <v>780</v>
      </c>
    </row>
    <row r="156" spans="1:25" x14ac:dyDescent="0.4">
      <c r="A156" s="12">
        <v>45734</v>
      </c>
      <c r="B156" t="s">
        <v>488</v>
      </c>
      <c r="C156" t="s">
        <v>755</v>
      </c>
      <c r="D156" s="8" t="s">
        <v>588</v>
      </c>
      <c r="J156" t="s">
        <v>35</v>
      </c>
      <c r="X156">
        <v>4</v>
      </c>
      <c r="Y156" t="s">
        <v>781</v>
      </c>
    </row>
    <row r="157" spans="1:25" x14ac:dyDescent="0.4">
      <c r="A157" s="12">
        <v>45734</v>
      </c>
      <c r="B157" t="s">
        <v>488</v>
      </c>
      <c r="C157" t="s">
        <v>757</v>
      </c>
      <c r="D157" s="8" t="s">
        <v>593</v>
      </c>
      <c r="J157" t="s">
        <v>35</v>
      </c>
      <c r="X157">
        <v>4</v>
      </c>
      <c r="Y157" t="s">
        <v>693</v>
      </c>
    </row>
    <row r="158" spans="1:25" x14ac:dyDescent="0.4">
      <c r="A158" s="12">
        <v>45734</v>
      </c>
      <c r="B158" t="s">
        <v>488</v>
      </c>
      <c r="C158" t="s">
        <v>758</v>
      </c>
      <c r="D158" s="8" t="s">
        <v>594</v>
      </c>
      <c r="J158" t="s">
        <v>60</v>
      </c>
      <c r="X158">
        <v>4</v>
      </c>
      <c r="Y158" t="s">
        <v>784</v>
      </c>
    </row>
    <row r="159" spans="1:25" x14ac:dyDescent="0.4">
      <c r="A159" s="12">
        <v>45734</v>
      </c>
      <c r="B159" t="s">
        <v>488</v>
      </c>
      <c r="C159" t="s">
        <v>759</v>
      </c>
      <c r="D159" s="8" t="s">
        <v>596</v>
      </c>
      <c r="J159" t="s">
        <v>37</v>
      </c>
      <c r="X159">
        <v>4</v>
      </c>
      <c r="Y159" t="s">
        <v>694</v>
      </c>
    </row>
    <row r="160" spans="1:25" x14ac:dyDescent="0.4">
      <c r="A160" s="12">
        <v>45734</v>
      </c>
      <c r="B160" t="s">
        <v>488</v>
      </c>
      <c r="C160" t="s">
        <v>760</v>
      </c>
      <c r="D160" s="8" t="s">
        <v>598</v>
      </c>
      <c r="J160" t="s">
        <v>47</v>
      </c>
      <c r="X160">
        <v>4</v>
      </c>
      <c r="Y160" t="s">
        <v>695</v>
      </c>
    </row>
    <row r="161" spans="1:25" x14ac:dyDescent="0.4">
      <c r="A161" s="12">
        <v>45734</v>
      </c>
      <c r="B161" t="s">
        <v>488</v>
      </c>
      <c r="C161" t="s">
        <v>761</v>
      </c>
      <c r="D161" s="8" t="s">
        <v>601</v>
      </c>
      <c r="J161" t="s">
        <v>35</v>
      </c>
      <c r="X161">
        <v>4</v>
      </c>
      <c r="Y161" t="s">
        <v>808</v>
      </c>
    </row>
    <row r="162" spans="1:25" x14ac:dyDescent="0.4">
      <c r="A162" s="12">
        <v>45734</v>
      </c>
      <c r="B162" t="s">
        <v>488</v>
      </c>
      <c r="C162" t="s">
        <v>762</v>
      </c>
      <c r="D162" s="8" t="s">
        <v>602</v>
      </c>
      <c r="J162" t="s">
        <v>20</v>
      </c>
      <c r="X162">
        <v>4</v>
      </c>
      <c r="Y162" t="s">
        <v>789</v>
      </c>
    </row>
    <row r="163" spans="1:25" x14ac:dyDescent="0.4">
      <c r="A163" s="12">
        <v>45734</v>
      </c>
      <c r="B163" t="s">
        <v>488</v>
      </c>
      <c r="C163" t="s">
        <v>763</v>
      </c>
      <c r="D163" s="8" t="s">
        <v>605</v>
      </c>
      <c r="J163" t="s">
        <v>35</v>
      </c>
      <c r="X163">
        <v>4</v>
      </c>
      <c r="Y163" t="s">
        <v>790</v>
      </c>
    </row>
    <row r="164" spans="1:25" x14ac:dyDescent="0.4">
      <c r="A164" s="12">
        <v>45734</v>
      </c>
      <c r="B164" t="s">
        <v>488</v>
      </c>
      <c r="C164" t="s">
        <v>764</v>
      </c>
      <c r="D164" s="8" t="s">
        <v>606</v>
      </c>
      <c r="J164" t="s">
        <v>20</v>
      </c>
      <c r="X164">
        <v>4</v>
      </c>
      <c r="Y164" t="s">
        <v>791</v>
      </c>
    </row>
    <row r="165" spans="1:25" x14ac:dyDescent="0.4">
      <c r="A165" s="12">
        <v>45734</v>
      </c>
      <c r="B165" t="s">
        <v>488</v>
      </c>
      <c r="C165" t="s">
        <v>765</v>
      </c>
      <c r="D165" s="8" t="s">
        <v>609</v>
      </c>
      <c r="J165" t="s">
        <v>35</v>
      </c>
      <c r="X165">
        <v>4</v>
      </c>
      <c r="Y165" t="s">
        <v>696</v>
      </c>
    </row>
    <row r="166" spans="1:25" x14ac:dyDescent="0.4">
      <c r="A166" s="12">
        <v>45734</v>
      </c>
      <c r="B166" t="s">
        <v>488</v>
      </c>
      <c r="C166" t="s">
        <v>766</v>
      </c>
      <c r="D166" s="8" t="s">
        <v>610</v>
      </c>
      <c r="J166" t="s">
        <v>47</v>
      </c>
      <c r="X166">
        <v>4</v>
      </c>
      <c r="Y166" t="s">
        <v>697</v>
      </c>
    </row>
    <row r="167" spans="1:25" x14ac:dyDescent="0.4">
      <c r="A167" s="12">
        <v>45734</v>
      </c>
      <c r="B167" t="s">
        <v>488</v>
      </c>
      <c r="C167" t="s">
        <v>767</v>
      </c>
      <c r="D167" s="8" t="s">
        <v>612</v>
      </c>
      <c r="J167" t="s">
        <v>37</v>
      </c>
      <c r="X167">
        <v>4</v>
      </c>
      <c r="Y167" t="s">
        <v>788</v>
      </c>
    </row>
    <row r="168" spans="1:25" x14ac:dyDescent="0.4">
      <c r="A168" s="12">
        <v>45734</v>
      </c>
      <c r="B168" t="s">
        <v>488</v>
      </c>
      <c r="C168" t="s">
        <v>768</v>
      </c>
      <c r="D168" s="8" t="s">
        <v>614</v>
      </c>
      <c r="J168" t="s">
        <v>47</v>
      </c>
      <c r="X168">
        <v>4</v>
      </c>
      <c r="Y168" t="s">
        <v>783</v>
      </c>
    </row>
    <row r="169" spans="1:25" x14ac:dyDescent="0.4">
      <c r="A169" s="12">
        <v>45734</v>
      </c>
      <c r="B169" t="s">
        <v>488</v>
      </c>
      <c r="C169" t="s">
        <v>769</v>
      </c>
      <c r="D169" s="8" t="s">
        <v>616</v>
      </c>
      <c r="J169" t="s">
        <v>37</v>
      </c>
      <c r="X169">
        <v>4</v>
      </c>
      <c r="Y169" t="s">
        <v>698</v>
      </c>
    </row>
    <row r="170" spans="1:25" x14ac:dyDescent="0.4">
      <c r="A170" s="12">
        <v>45734</v>
      </c>
      <c r="B170" t="s">
        <v>488</v>
      </c>
      <c r="C170" t="s">
        <v>770</v>
      </c>
      <c r="D170" s="8" t="s">
        <v>618</v>
      </c>
      <c r="J170" t="s">
        <v>20</v>
      </c>
      <c r="X170">
        <v>4</v>
      </c>
      <c r="Y170" t="s">
        <v>782</v>
      </c>
    </row>
    <row r="171" spans="1:25" x14ac:dyDescent="0.4">
      <c r="A171" s="12">
        <v>45734</v>
      </c>
      <c r="B171" t="s">
        <v>488</v>
      </c>
      <c r="C171" t="s">
        <v>771</v>
      </c>
      <c r="D171" s="8" t="s">
        <v>620</v>
      </c>
      <c r="J171" t="s">
        <v>47</v>
      </c>
      <c r="X171">
        <v>4</v>
      </c>
      <c r="Y171" t="s">
        <v>699</v>
      </c>
    </row>
    <row r="172" spans="1:25" x14ac:dyDescent="0.4">
      <c r="A172" s="12">
        <v>45734</v>
      </c>
      <c r="B172" t="s">
        <v>488</v>
      </c>
      <c r="C172" t="s">
        <v>772</v>
      </c>
      <c r="D172" s="8" t="s">
        <v>622</v>
      </c>
      <c r="J172" t="s">
        <v>35</v>
      </c>
      <c r="X172">
        <v>4</v>
      </c>
      <c r="Y172" t="s">
        <v>700</v>
      </c>
    </row>
    <row r="173" spans="1:25" x14ac:dyDescent="0.4">
      <c r="A173" s="12">
        <v>45734</v>
      </c>
      <c r="B173" t="s">
        <v>488</v>
      </c>
      <c r="C173" t="s">
        <v>773</v>
      </c>
      <c r="D173" s="8" t="s">
        <v>624</v>
      </c>
      <c r="J173" t="s">
        <v>20</v>
      </c>
      <c r="X173">
        <v>4</v>
      </c>
      <c r="Y173" t="s">
        <v>701</v>
      </c>
    </row>
    <row r="174" spans="1:25" x14ac:dyDescent="0.4">
      <c r="A174" s="12">
        <v>45734</v>
      </c>
      <c r="B174" t="s">
        <v>488</v>
      </c>
      <c r="C174" t="s">
        <v>774</v>
      </c>
      <c r="D174" s="8" t="s">
        <v>626</v>
      </c>
      <c r="J174" t="s">
        <v>35</v>
      </c>
      <c r="X174">
        <v>4</v>
      </c>
      <c r="Y174" t="s">
        <v>702</v>
      </c>
    </row>
    <row r="175" spans="1:25" x14ac:dyDescent="0.4">
      <c r="A175" s="12">
        <v>45734</v>
      </c>
      <c r="B175" t="s">
        <v>488</v>
      </c>
      <c r="C175" t="s">
        <v>775</v>
      </c>
      <c r="D175" s="8" t="s">
        <v>628</v>
      </c>
      <c r="J175" t="s">
        <v>60</v>
      </c>
      <c r="X175">
        <v>4</v>
      </c>
      <c r="Y175" t="s">
        <v>703</v>
      </c>
    </row>
    <row r="176" spans="1:25" x14ac:dyDescent="0.4">
      <c r="A176" s="12">
        <v>45734</v>
      </c>
      <c r="B176" t="s">
        <v>488</v>
      </c>
      <c r="C176" t="s">
        <v>776</v>
      </c>
      <c r="D176" s="8" t="s">
        <v>630</v>
      </c>
      <c r="J176" t="s">
        <v>47</v>
      </c>
      <c r="X176">
        <v>4</v>
      </c>
      <c r="Y176" t="s">
        <v>704</v>
      </c>
    </row>
  </sheetData>
  <phoneticPr fontId="6" type="noConversion"/>
  <hyperlinks>
    <hyperlink ref="D2" r:id="rId1" xr:uid="{34B84A85-1465-430F-90A5-A47A29C29EB4}"/>
    <hyperlink ref="D3" r:id="rId2" xr:uid="{103FD3A6-F796-4D92-9D8C-0D1A58D01850}"/>
    <hyperlink ref="D4" r:id="rId3" xr:uid="{DF9AD4C9-8EEA-45E8-BF16-FB04F51F7AC3}"/>
    <hyperlink ref="D6" r:id="rId4" xr:uid="{5E4A1A3E-B6A0-4593-8CE8-BDE881F10AAF}"/>
    <hyperlink ref="D7" r:id="rId5" xr:uid="{24F372FA-4D93-45DC-9163-5256AF75F173}"/>
    <hyperlink ref="D8" r:id="rId6" xr:uid="{3B211E9B-CC9E-4B37-85D3-2B14364C0B33}"/>
    <hyperlink ref="D9" r:id="rId7" xr:uid="{0D85C7E5-FAAF-4B1C-AB7C-24374166AE8D}"/>
    <hyperlink ref="D10" r:id="rId8" xr:uid="{22B09F3D-D035-41D1-840F-6F57ADA7A1B3}"/>
    <hyperlink ref="D11" r:id="rId9" xr:uid="{BBA507A8-E763-4809-9E49-3723D71F5EC7}"/>
    <hyperlink ref="D12" r:id="rId10" xr:uid="{E8A1EC9E-B5B4-4FE3-9D99-DB6BADF641C5}"/>
    <hyperlink ref="D14" r:id="rId11" xr:uid="{F453FF3C-B34E-41FD-A65F-33F58391904A}"/>
    <hyperlink ref="D15" r:id="rId12" xr:uid="{420782D8-FE47-4264-8D56-97F5895E2ED5}"/>
    <hyperlink ref="D16" r:id="rId13" xr:uid="{9B3F01EC-02F2-4876-8D64-3BBC145AC523}"/>
    <hyperlink ref="D17" r:id="rId14" xr:uid="{B02084DC-1454-46DC-959E-5FEF50FEB772}"/>
    <hyperlink ref="D18" r:id="rId15" xr:uid="{8182AD81-B104-4CB8-8272-63287EB9C2F4}"/>
    <hyperlink ref="D19" r:id="rId16" xr:uid="{91840029-A2D8-4EFB-A58D-E6165DE3F501}"/>
    <hyperlink ref="D20" r:id="rId17" xr:uid="{C1BEECED-4448-43A4-A10F-88DBAC99BF15}"/>
    <hyperlink ref="D21" r:id="rId18" xr:uid="{DBDA89C5-DC3A-4374-8917-72BBA9ECB1E3}"/>
    <hyperlink ref="D22" r:id="rId19" xr:uid="{1D364EF1-FA01-4ADA-B445-2DD1FDFD9E63}"/>
    <hyperlink ref="D23" r:id="rId20" xr:uid="{65A301B4-C3CE-4E95-BD61-E159FD1E2090}"/>
    <hyperlink ref="D24" r:id="rId21" xr:uid="{2B251CE2-D744-48B7-BE95-99866FA30C10}"/>
    <hyperlink ref="D25" r:id="rId22" xr:uid="{042AAF7A-4190-4A14-AA61-D0B75DEDF6BB}"/>
    <hyperlink ref="D26" r:id="rId23" xr:uid="{6B515C46-7D3F-4851-B3F2-E6F222A21410}"/>
    <hyperlink ref="D27" r:id="rId24" xr:uid="{2AB2CBC6-8BF2-4E9E-962D-CFB7A8A25E8F}"/>
    <hyperlink ref="D28" r:id="rId25" xr:uid="{7C583A4D-81CE-49A2-916C-235D3DCAB232}"/>
    <hyperlink ref="D29" r:id="rId26" xr:uid="{986BE7FB-19E4-447A-B394-C9796DACF9B6}"/>
    <hyperlink ref="D30" r:id="rId27" xr:uid="{F78689A6-6C5C-4431-9FB9-39B90E431B3F}"/>
    <hyperlink ref="D31" r:id="rId28" xr:uid="{A0271A6D-5583-4AF6-B487-D635FC3E1F97}"/>
    <hyperlink ref="D32" r:id="rId29" xr:uid="{41346792-5663-4496-8547-DD8EC11EB215}"/>
    <hyperlink ref="D34" r:id="rId30" xr:uid="{5D205A99-6EA5-4CF8-9E93-0C4CF553647E}"/>
    <hyperlink ref="D37" r:id="rId31" xr:uid="{7866AA3F-31AF-4BA5-AB84-41E18A8D114E}"/>
    <hyperlink ref="D41" r:id="rId32" xr:uid="{88D7D4E4-50C4-459F-9B72-D938C4767C26}"/>
    <hyperlink ref="D42" r:id="rId33" xr:uid="{C14E2003-A135-4FA6-B891-F05F48DFFF8A}"/>
    <hyperlink ref="D43" r:id="rId34" xr:uid="{9D396F29-5908-467F-9E52-D4F86AFD21E3}"/>
    <hyperlink ref="D46" r:id="rId35" xr:uid="{B525F21D-40F8-4F31-B161-6DD018CCD835}"/>
    <hyperlink ref="D48" r:id="rId36" display="https://www.google.com/maps?q=-34.5927619934082,-58.383609771728516&amp;z=17&amp;hl=es" xr:uid="{64267FC1-FADB-432A-8F4B-7304A6C465D7}"/>
    <hyperlink ref="D49" r:id="rId37" xr:uid="{DBB53584-B217-4C2F-ABE9-A5BFCC0BFC76}"/>
    <hyperlink ref="D50" r:id="rId38" xr:uid="{F50ADD64-0003-4284-87EA-ABB204AE1946}"/>
    <hyperlink ref="D51" r:id="rId39" display="https://www.google.com/maps?q=-34.592735290527344,-58.37911605834961&amp;z=17&amp;hl=es" xr:uid="{42E1DB89-0ED2-4068-9D65-27503BF72FCC}"/>
    <hyperlink ref="D52" r:id="rId40" xr:uid="{29C7FC7C-2257-474A-9510-324A47A6B130}"/>
    <hyperlink ref="D53" r:id="rId41" xr:uid="{E9AE8AB7-0F01-4901-ACDD-A76C3912AD5A}"/>
    <hyperlink ref="D54" r:id="rId42" xr:uid="{AF6EA4C3-5E6C-4C1D-A071-8F6D7A933FCE}"/>
    <hyperlink ref="D56" r:id="rId43" xr:uid="{25D6C098-564B-44AA-B2E3-26C00B7DA62D}"/>
    <hyperlink ref="D57" r:id="rId44" xr:uid="{3E0AF767-C186-4BB3-9A28-073A3B800775}"/>
    <hyperlink ref="D58" r:id="rId45" xr:uid="{47909278-84ED-4613-9BE5-C090247B7063}"/>
    <hyperlink ref="D59" r:id="rId46" xr:uid="{5D8D4885-C525-46A6-8E7E-CA11D107138D}"/>
    <hyperlink ref="D60" r:id="rId47" xr:uid="{5A6560D7-5958-42EE-AEC4-ED4DC6ADC562}"/>
    <hyperlink ref="D61" r:id="rId48" xr:uid="{D3ED8DA2-C243-433F-B9B6-D7F4275F1E33}"/>
    <hyperlink ref="D62" r:id="rId49" xr:uid="{ADAB1EAC-65A2-4AE2-A011-A143950D04FF}"/>
    <hyperlink ref="D63" r:id="rId50" xr:uid="{52F55D7F-C2F0-432D-BF5D-D7F549EE1CD0}"/>
    <hyperlink ref="D64" r:id="rId51" xr:uid="{96FAAE5D-6BBE-4AAF-BA5C-8476067A3F93}"/>
    <hyperlink ref="D65" r:id="rId52" xr:uid="{BCB1AD3D-0D75-4980-9BE0-4A0A0341E34C}"/>
    <hyperlink ref="D66" r:id="rId53" xr:uid="{5551AF57-0759-4E03-BA87-6FF5D3690D0D}"/>
    <hyperlink ref="D67" r:id="rId54" xr:uid="{3FA3692B-56EB-4CDC-AF70-CD1AF06E06A3}"/>
    <hyperlink ref="D68" r:id="rId55" xr:uid="{18650105-8E57-4DAA-8AF4-31637D293D9E}"/>
    <hyperlink ref="D69" r:id="rId56" xr:uid="{ACBF9558-B4AC-484A-92EC-7F37E0BB67BD}"/>
    <hyperlink ref="D70" r:id="rId57" xr:uid="{F11D9F59-FF18-4CB3-907D-5AE50C96FDB2}"/>
    <hyperlink ref="D71" r:id="rId58" xr:uid="{623C8ADB-610E-4CC7-AC21-08E01F32D5DA}"/>
    <hyperlink ref="D72" r:id="rId59" xr:uid="{562DCECD-F65C-46C7-9C3E-6347ED3DAD54}"/>
    <hyperlink ref="D73" r:id="rId60" xr:uid="{162B6B80-7EA1-461E-8AE2-AC2D9B72A538}"/>
    <hyperlink ref="D74" r:id="rId61" xr:uid="{96DA9B5C-70F0-4601-8498-12A5457974EB}"/>
    <hyperlink ref="D76" r:id="rId62" xr:uid="{8BC60AB8-DAE9-48F1-975D-25D67D3F6F09}"/>
    <hyperlink ref="D5" r:id="rId63" xr:uid="{B9BACED9-EFBF-4FE6-BD19-5722EA743AFB}"/>
    <hyperlink ref="D38" r:id="rId64" xr:uid="{2E6ADDF1-24D1-45A1-BD96-446368A45399}"/>
    <hyperlink ref="D39" r:id="rId65" xr:uid="{C4123B4B-D9DE-4904-AD82-D1F1CCC6D130}"/>
    <hyperlink ref="D40" r:id="rId66" xr:uid="{EE523BE3-CCDC-47AE-AD66-151B8BB557ED}"/>
  </hyperlinks>
  <pageMargins left="0.7" right="0.7" top="0.75" bottom="0.75" header="0.3" footer="0.3"/>
  <pageSetup orientation="portrait" r:id="rId67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DA75701A-79FF-4AB6-8989-70D6FC527FEA}">
          <x14:formula1>
            <xm:f>Hoja2!$A$1:$A$13</xm:f>
          </x14:formula1>
          <xm:sqref>J2:J120 J122:J1048576</xm:sqref>
        </x14:dataValidation>
        <x14:dataValidation type="list" allowBlank="1" showInputMessage="1" showErrorMessage="1" xr:uid="{9866B33A-46D0-4D9C-8229-EC4EBDDD8996}">
          <x14:formula1>
            <xm:f>Hoja2!$A$1:$A$14</xm:f>
          </x14:formula1>
          <xm:sqref>J121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AA87F-0A30-4674-A36E-48E05876B16B}">
  <dimension ref="A1:AB214"/>
  <sheetViews>
    <sheetView zoomScaleNormal="100" workbookViewId="0">
      <pane ySplit="1" topLeftCell="A192" activePane="bottomLeft" state="frozen"/>
      <selection pane="bottomLeft" activeCell="H206" sqref="H206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23046875" style="8" customWidth="1"/>
    <col min="5" max="9" width="6.07421875" customWidth="1"/>
    <col min="10" max="10" width="12.07421875" customWidth="1"/>
    <col min="11" max="17" width="9.4609375" customWidth="1"/>
    <col min="18" max="21" width="4.3046875" customWidth="1"/>
    <col min="22" max="22" width="8.53515625" customWidth="1"/>
    <col min="23" max="24" width="10.23046875" customWidth="1"/>
    <col min="25" max="25" width="44.23046875" bestFit="1" customWidth="1"/>
    <col min="26" max="26" width="6.46093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s="20" t="s">
        <v>47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s="20" t="s">
        <v>47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s="20" t="s">
        <v>47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s="20" t="s">
        <v>37</v>
      </c>
      <c r="K14">
        <v>1740</v>
      </c>
      <c r="L14">
        <v>790</v>
      </c>
      <c r="M14">
        <v>990</v>
      </c>
      <c r="N14">
        <v>1190</v>
      </c>
      <c r="O14">
        <v>590</v>
      </c>
      <c r="P14" s="9">
        <v>2410</v>
      </c>
      <c r="Q14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s="20" t="s">
        <v>47</v>
      </c>
      <c r="N15">
        <v>1800</v>
      </c>
      <c r="O15">
        <v>890</v>
      </c>
      <c r="Q15">
        <v>15600</v>
      </c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s="20" t="s">
        <v>47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s="20" t="s">
        <v>66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s="20" t="s">
        <v>37</v>
      </c>
      <c r="K22">
        <v>1390</v>
      </c>
      <c r="L22">
        <v>790</v>
      </c>
      <c r="M22">
        <v>990</v>
      </c>
      <c r="N22">
        <v>1600</v>
      </c>
      <c r="O22">
        <v>890</v>
      </c>
      <c r="P22" s="9">
        <v>2145</v>
      </c>
      <c r="Q22">
        <v>15600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s="20" t="s">
        <v>47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s="20" t="s">
        <v>47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s="20" t="s">
        <v>47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s="20" t="s">
        <v>58</v>
      </c>
      <c r="K32">
        <v>2100</v>
      </c>
      <c r="L32">
        <v>1200</v>
      </c>
      <c r="M32">
        <v>2000</v>
      </c>
      <c r="N32">
        <v>5200</v>
      </c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s="20" t="s">
        <v>47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s="20" t="s">
        <v>60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s="20" t="s">
        <v>47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s="20" t="s">
        <v>61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Q37">
        <v>13500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s="20" t="s">
        <v>66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s="20" t="s">
        <v>69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s="20" t="s">
        <v>47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s="20" t="s">
        <v>37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s="20" t="s">
        <v>60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s="20" t="s">
        <v>66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s="20" t="s">
        <v>87</v>
      </c>
      <c r="Q64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s="20" t="s">
        <v>87</v>
      </c>
      <c r="Q66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s="20" t="s">
        <v>87</v>
      </c>
      <c r="Q67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s="20" t="s">
        <v>66</v>
      </c>
      <c r="P71">
        <v>725</v>
      </c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s="20" t="s">
        <v>47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s="20" t="s">
        <v>66</v>
      </c>
      <c r="P81">
        <v>3000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0.71180555555555558</v>
      </c>
      <c r="C82" s="10" t="s">
        <v>338</v>
      </c>
      <c r="D82" s="8" t="s">
        <v>251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308</v>
      </c>
    </row>
    <row r="83" spans="1:25" x14ac:dyDescent="0.4">
      <c r="A83" s="12">
        <v>46002</v>
      </c>
      <c r="B83" s="17">
        <v>0.71319444444444446</v>
      </c>
      <c r="C83" s="10" t="s">
        <v>339</v>
      </c>
      <c r="D83" s="8" t="s">
        <v>253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309</v>
      </c>
    </row>
    <row r="84" spans="1:25" x14ac:dyDescent="0.4">
      <c r="A84" s="12">
        <v>46002</v>
      </c>
      <c r="B84" s="17">
        <v>0.71527777777777779</v>
      </c>
      <c r="C84" s="10" t="s">
        <v>340</v>
      </c>
      <c r="D84" s="8" t="s">
        <v>255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310</v>
      </c>
    </row>
    <row r="85" spans="1:25" x14ac:dyDescent="0.4">
      <c r="A85" s="12">
        <v>46002</v>
      </c>
      <c r="B85" s="17">
        <v>0.71875</v>
      </c>
      <c r="C85" s="10" t="s">
        <v>341</v>
      </c>
      <c r="D85" s="8" t="s">
        <v>257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311</v>
      </c>
    </row>
    <row r="86" spans="1:25" x14ac:dyDescent="0.4">
      <c r="A86" s="12">
        <v>46002</v>
      </c>
      <c r="B86" s="17">
        <v>0.72152777777777777</v>
      </c>
      <c r="C86" s="10" t="s">
        <v>342</v>
      </c>
      <c r="D86" s="8" t="s">
        <v>260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312</v>
      </c>
    </row>
    <row r="87" spans="1:25" x14ac:dyDescent="0.4">
      <c r="A87" s="12">
        <v>46002</v>
      </c>
      <c r="B87" s="17">
        <v>0.73750000000000004</v>
      </c>
      <c r="C87" s="10" t="s">
        <v>343</v>
      </c>
      <c r="D87" s="8" t="s">
        <v>262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313</v>
      </c>
    </row>
    <row r="88" spans="1:25" x14ac:dyDescent="0.4">
      <c r="A88" s="12">
        <v>46002</v>
      </c>
      <c r="B88" s="17">
        <v>0.73819444444444449</v>
      </c>
      <c r="C88" s="10" t="s">
        <v>344</v>
      </c>
      <c r="D88" s="8" t="s">
        <v>264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314</v>
      </c>
    </row>
    <row r="89" spans="1:25" x14ac:dyDescent="0.4">
      <c r="A89" s="12">
        <v>46002</v>
      </c>
      <c r="B89" s="17">
        <v>0.74097222222222225</v>
      </c>
      <c r="C89" s="10" t="s">
        <v>345</v>
      </c>
      <c r="D89" s="8" t="s">
        <v>266</v>
      </c>
      <c r="J89" s="20" t="s">
        <v>69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315</v>
      </c>
    </row>
    <row r="90" spans="1:25" x14ac:dyDescent="0.4">
      <c r="A90" s="12">
        <v>46002</v>
      </c>
      <c r="B90" s="17">
        <v>0.75</v>
      </c>
      <c r="C90" s="10" t="s">
        <v>346</v>
      </c>
      <c r="D90" s="8" t="s">
        <v>268</v>
      </c>
      <c r="J90" s="20" t="s">
        <v>47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316</v>
      </c>
    </row>
    <row r="91" spans="1:25" x14ac:dyDescent="0.4">
      <c r="A91" s="12">
        <v>46002</v>
      </c>
      <c r="B91" s="17">
        <v>0.76111111111111107</v>
      </c>
      <c r="C91" s="10" t="s">
        <v>347</v>
      </c>
      <c r="D91" s="8" t="s">
        <v>270</v>
      </c>
      <c r="J91" s="20" t="s">
        <v>47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317</v>
      </c>
    </row>
    <row r="92" spans="1:25" x14ac:dyDescent="0.4">
      <c r="A92" s="12">
        <v>46002</v>
      </c>
      <c r="B92" s="17">
        <v>0.7631944444444444</v>
      </c>
      <c r="C92" s="10" t="s">
        <v>348</v>
      </c>
      <c r="D92" s="8" t="s">
        <v>272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318</v>
      </c>
    </row>
    <row r="93" spans="1:25" x14ac:dyDescent="0.4">
      <c r="A93" s="12">
        <v>46002</v>
      </c>
      <c r="B93" s="17">
        <v>0.77638888888888891</v>
      </c>
      <c r="C93" s="10" t="s">
        <v>349</v>
      </c>
      <c r="D93" s="8" t="s">
        <v>274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319</v>
      </c>
    </row>
    <row r="94" spans="1:25" x14ac:dyDescent="0.4">
      <c r="A94" s="12">
        <v>46002</v>
      </c>
      <c r="B94" s="17">
        <v>0.77986111111111112</v>
      </c>
      <c r="C94" s="10" t="s">
        <v>350</v>
      </c>
      <c r="D94" s="8" t="s">
        <v>276</v>
      </c>
      <c r="J94" s="20" t="s">
        <v>47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320</v>
      </c>
    </row>
    <row r="95" spans="1:25" x14ac:dyDescent="0.4">
      <c r="A95" s="12">
        <v>46002</v>
      </c>
      <c r="B95" s="17">
        <v>0.78472222222222221</v>
      </c>
      <c r="C95" s="10" t="s">
        <v>351</v>
      </c>
      <c r="D95" s="8" t="s">
        <v>278</v>
      </c>
      <c r="J95" s="20" t="s">
        <v>66</v>
      </c>
      <c r="P95">
        <f>1500/2</f>
        <v>750</v>
      </c>
      <c r="V95" t="s">
        <v>26</v>
      </c>
      <c r="W95" t="s">
        <v>25</v>
      </c>
      <c r="X95">
        <v>2</v>
      </c>
      <c r="Y95" t="s">
        <v>321</v>
      </c>
    </row>
    <row r="96" spans="1:25" x14ac:dyDescent="0.4">
      <c r="A96" s="12">
        <v>46002</v>
      </c>
      <c r="B96" s="17">
        <v>0.78680555555555554</v>
      </c>
      <c r="C96" s="10" t="s">
        <v>352</v>
      </c>
      <c r="D96" s="8" t="s">
        <v>280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322</v>
      </c>
    </row>
    <row r="97" spans="1:26" x14ac:dyDescent="0.4">
      <c r="A97" s="12">
        <v>46002</v>
      </c>
      <c r="B97" s="17">
        <v>0.79027777777777775</v>
      </c>
      <c r="C97" s="10" t="s">
        <v>353</v>
      </c>
      <c r="D97" s="8" t="s">
        <v>282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323</v>
      </c>
    </row>
    <row r="98" spans="1:26" x14ac:dyDescent="0.4">
      <c r="A98" s="12">
        <v>46002</v>
      </c>
      <c r="B98" s="17">
        <v>0.8</v>
      </c>
      <c r="C98" s="10" t="s">
        <v>354</v>
      </c>
      <c r="D98" s="8" t="s">
        <v>284</v>
      </c>
      <c r="J98" s="20" t="s">
        <v>47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324</v>
      </c>
    </row>
    <row r="99" spans="1:26" x14ac:dyDescent="0.4">
      <c r="A99" s="12">
        <v>46002</v>
      </c>
      <c r="B99" s="17">
        <v>0.80138888888888893</v>
      </c>
      <c r="C99" s="10" t="s">
        <v>355</v>
      </c>
      <c r="D99" s="8" t="s">
        <v>286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325</v>
      </c>
    </row>
    <row r="100" spans="1:26" x14ac:dyDescent="0.4">
      <c r="A100" s="12">
        <v>46002</v>
      </c>
      <c r="B100" s="17">
        <v>0.80972222222222223</v>
      </c>
      <c r="C100" s="10" t="s">
        <v>356</v>
      </c>
      <c r="D100" s="8" t="s">
        <v>288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326</v>
      </c>
    </row>
    <row r="101" spans="1:26" x14ac:dyDescent="0.4">
      <c r="A101" s="12">
        <v>46002</v>
      </c>
      <c r="B101" s="17">
        <v>0.81666666666666665</v>
      </c>
      <c r="C101" s="10" t="s">
        <v>357</v>
      </c>
      <c r="D101" s="8" t="s">
        <v>289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326</v>
      </c>
    </row>
    <row r="102" spans="1:26" x14ac:dyDescent="0.4">
      <c r="A102" s="12">
        <v>46002</v>
      </c>
      <c r="B102" s="17">
        <v>0.82222222222222219</v>
      </c>
      <c r="C102" s="10" t="s">
        <v>358</v>
      </c>
      <c r="D102" s="8" t="s">
        <v>291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327</v>
      </c>
    </row>
    <row r="103" spans="1:26" x14ac:dyDescent="0.4">
      <c r="A103" s="12">
        <v>46002</v>
      </c>
      <c r="B103" s="17">
        <v>0.82708333333333328</v>
      </c>
      <c r="C103" s="10" t="s">
        <v>359</v>
      </c>
      <c r="D103" s="8" t="s">
        <v>293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328</v>
      </c>
    </row>
    <row r="104" spans="1:26" x14ac:dyDescent="0.4">
      <c r="A104" s="12">
        <v>46002</v>
      </c>
      <c r="B104" s="17">
        <v>0.83819444444444446</v>
      </c>
      <c r="C104" s="10" t="s">
        <v>360</v>
      </c>
      <c r="D104" s="8" t="s">
        <v>295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329</v>
      </c>
    </row>
    <row r="105" spans="1:26" x14ac:dyDescent="0.4">
      <c r="A105" s="12">
        <v>46002</v>
      </c>
      <c r="B105" s="17">
        <v>0.84027777777777779</v>
      </c>
      <c r="C105" s="10" t="s">
        <v>361</v>
      </c>
      <c r="D105" s="8" t="s">
        <v>297</v>
      </c>
      <c r="J105" s="20" t="s">
        <v>47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330</v>
      </c>
    </row>
    <row r="106" spans="1:26" x14ac:dyDescent="0.4">
      <c r="A106" s="12">
        <v>46002</v>
      </c>
      <c r="B106" s="17">
        <v>0.84375</v>
      </c>
      <c r="C106" s="10" t="s">
        <v>362</v>
      </c>
      <c r="D106" s="8" t="s">
        <v>299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331</v>
      </c>
    </row>
    <row r="107" spans="1:26" x14ac:dyDescent="0.4">
      <c r="A107" s="12">
        <v>46002</v>
      </c>
      <c r="B107" s="17">
        <v>0.85069444444444442</v>
      </c>
      <c r="C107" s="10" t="s">
        <v>363</v>
      </c>
      <c r="D107" s="8" t="s">
        <v>301</v>
      </c>
      <c r="J107" s="20" t="s">
        <v>37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332</v>
      </c>
    </row>
    <row r="108" spans="1:26" x14ac:dyDescent="0.4">
      <c r="A108" s="12">
        <v>46002</v>
      </c>
      <c r="B108" s="17">
        <v>0.85347222222222219</v>
      </c>
      <c r="C108" s="10" t="s">
        <v>364</v>
      </c>
      <c r="D108" s="8" t="s">
        <v>303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333</v>
      </c>
    </row>
    <row r="109" spans="1:26" s="15" customFormat="1" x14ac:dyDescent="0.4">
      <c r="A109" s="14"/>
      <c r="D109" s="16"/>
      <c r="K109" s="15" t="s">
        <v>5</v>
      </c>
      <c r="L109" s="15" t="s">
        <v>243</v>
      </c>
      <c r="M109" s="15" t="s">
        <v>6</v>
      </c>
      <c r="N109" s="15" t="s">
        <v>7</v>
      </c>
      <c r="O109" s="15" t="s">
        <v>8</v>
      </c>
      <c r="P109" s="15" t="s">
        <v>9</v>
      </c>
      <c r="Q109" s="15" t="s">
        <v>10</v>
      </c>
      <c r="R109" s="15" t="s">
        <v>11</v>
      </c>
      <c r="S109" s="15" t="s">
        <v>12</v>
      </c>
      <c r="T109" s="15" t="s">
        <v>13</v>
      </c>
      <c r="U109" s="15" t="s">
        <v>14</v>
      </c>
      <c r="V109" s="15" t="s">
        <v>244</v>
      </c>
      <c r="W109" s="15" t="s">
        <v>15</v>
      </c>
      <c r="X109" s="15" t="s">
        <v>259</v>
      </c>
      <c r="Y109" s="15" t="s">
        <v>237</v>
      </c>
      <c r="Z109" s="15" t="s">
        <v>16</v>
      </c>
    </row>
    <row r="110" spans="1:26" x14ac:dyDescent="0.4">
      <c r="A110" s="12">
        <v>45733</v>
      </c>
      <c r="B110" s="17">
        <v>0.59375</v>
      </c>
      <c r="C110" s="10" t="s">
        <v>393</v>
      </c>
      <c r="D110" s="8" t="s">
        <v>392</v>
      </c>
      <c r="J110" s="20" t="s">
        <v>35</v>
      </c>
      <c r="O110">
        <v>2000</v>
      </c>
      <c r="V110" t="s">
        <v>26</v>
      </c>
      <c r="W110" t="s">
        <v>25</v>
      </c>
      <c r="X110">
        <v>3</v>
      </c>
      <c r="Y110" t="s">
        <v>634</v>
      </c>
    </row>
    <row r="111" spans="1:26" x14ac:dyDescent="0.4">
      <c r="A111" s="12">
        <v>45733</v>
      </c>
      <c r="B111" s="17">
        <v>0.59444444444444444</v>
      </c>
      <c r="C111" s="10" t="s">
        <v>425</v>
      </c>
      <c r="D111" s="8" t="s">
        <v>394</v>
      </c>
      <c r="J111" s="20" t="s">
        <v>24</v>
      </c>
      <c r="K111">
        <v>1800</v>
      </c>
      <c r="L111">
        <v>800</v>
      </c>
      <c r="M111">
        <v>1800</v>
      </c>
      <c r="P111">
        <v>1511</v>
      </c>
      <c r="V111" t="s">
        <v>26</v>
      </c>
      <c r="W111" t="s">
        <v>25</v>
      </c>
      <c r="X111">
        <v>3</v>
      </c>
      <c r="Y111" t="s">
        <v>637</v>
      </c>
    </row>
    <row r="112" spans="1:26" x14ac:dyDescent="0.4">
      <c r="A112" s="12">
        <v>45733</v>
      </c>
      <c r="B112" s="17">
        <v>0.59652777777777777</v>
      </c>
      <c r="C112" s="10" t="s">
        <v>426</v>
      </c>
      <c r="D112" s="8" t="s">
        <v>395</v>
      </c>
      <c r="J112" s="20" t="s">
        <v>58</v>
      </c>
      <c r="K112">
        <v>1800</v>
      </c>
      <c r="L112">
        <v>1200</v>
      </c>
      <c r="M112">
        <v>1500</v>
      </c>
      <c r="N112">
        <v>2000</v>
      </c>
      <c r="O112">
        <v>1500</v>
      </c>
      <c r="P112">
        <v>1700</v>
      </c>
      <c r="V112" t="s">
        <v>26</v>
      </c>
      <c r="W112" t="s">
        <v>25</v>
      </c>
      <c r="X112">
        <v>3</v>
      </c>
      <c r="Y112" t="s">
        <v>638</v>
      </c>
    </row>
    <row r="113" spans="1:25" x14ac:dyDescent="0.4">
      <c r="A113" s="12">
        <v>45733</v>
      </c>
      <c r="B113" s="17">
        <v>0.59722222222222221</v>
      </c>
      <c r="C113" s="10" t="s">
        <v>427</v>
      </c>
      <c r="D113" s="8" t="s">
        <v>396</v>
      </c>
      <c r="J113" s="20" t="s">
        <v>47</v>
      </c>
      <c r="K113">
        <v>1800</v>
      </c>
      <c r="L113">
        <v>2600</v>
      </c>
      <c r="M113">
        <v>1800</v>
      </c>
      <c r="N113">
        <v>2800</v>
      </c>
      <c r="O113">
        <v>1500</v>
      </c>
      <c r="V113" t="s">
        <v>26</v>
      </c>
      <c r="W113" t="s">
        <v>25</v>
      </c>
      <c r="X113">
        <v>3</v>
      </c>
      <c r="Y113" t="s">
        <v>635</v>
      </c>
    </row>
    <row r="114" spans="1:25" x14ac:dyDescent="0.4">
      <c r="A114" s="12">
        <v>45733</v>
      </c>
      <c r="B114" s="17">
        <v>0.6020833333333333</v>
      </c>
      <c r="C114" s="10" t="s">
        <v>428</v>
      </c>
      <c r="D114" s="8" t="s">
        <v>397</v>
      </c>
      <c r="J114" s="20" t="s">
        <v>35</v>
      </c>
      <c r="O114">
        <v>3000</v>
      </c>
      <c r="V114" t="s">
        <v>26</v>
      </c>
      <c r="W114" t="s">
        <v>25</v>
      </c>
      <c r="X114">
        <v>3</v>
      </c>
      <c r="Y114" t="s">
        <v>639</v>
      </c>
    </row>
    <row r="115" spans="1:25" x14ac:dyDescent="0.4">
      <c r="A115" s="12">
        <v>45733</v>
      </c>
      <c r="B115" s="17">
        <v>0.60347222222222219</v>
      </c>
      <c r="C115" s="10" t="s">
        <v>429</v>
      </c>
      <c r="D115" s="8" t="s">
        <v>398</v>
      </c>
      <c r="J115" s="20" t="s">
        <v>21</v>
      </c>
      <c r="Q115">
        <v>20000</v>
      </c>
      <c r="V115" t="s">
        <v>25</v>
      </c>
      <c r="W115" t="s">
        <v>25</v>
      </c>
      <c r="X115">
        <v>3</v>
      </c>
      <c r="Y115" t="s">
        <v>640</v>
      </c>
    </row>
    <row r="116" spans="1:25" x14ac:dyDescent="0.4">
      <c r="A116" s="12">
        <v>45733</v>
      </c>
      <c r="B116" s="17">
        <v>0.60486111111111107</v>
      </c>
      <c r="C116" s="10" t="s">
        <v>430</v>
      </c>
      <c r="D116" s="8" t="s">
        <v>399</v>
      </c>
      <c r="J116" s="20" t="s">
        <v>35</v>
      </c>
      <c r="L116">
        <v>1500</v>
      </c>
      <c r="M116">
        <v>1800</v>
      </c>
      <c r="O116">
        <v>1500</v>
      </c>
      <c r="V116" t="s">
        <v>26</v>
      </c>
      <c r="W116" t="s">
        <v>25</v>
      </c>
      <c r="X116">
        <v>3</v>
      </c>
      <c r="Y116" t="s">
        <v>641</v>
      </c>
    </row>
    <row r="117" spans="1:25" x14ac:dyDescent="0.4">
      <c r="A117" s="12">
        <v>45733</v>
      </c>
      <c r="B117" s="17">
        <v>0.6118055555555556</v>
      </c>
      <c r="C117" s="10" t="s">
        <v>431</v>
      </c>
      <c r="D117" s="8" t="s">
        <v>400</v>
      </c>
      <c r="J117" s="20" t="s">
        <v>21</v>
      </c>
      <c r="Q117">
        <v>20000</v>
      </c>
      <c r="V117" t="s">
        <v>25</v>
      </c>
      <c r="W117" t="s">
        <v>25</v>
      </c>
      <c r="X117">
        <v>3</v>
      </c>
      <c r="Y117" t="s">
        <v>642</v>
      </c>
    </row>
    <row r="118" spans="1:25" x14ac:dyDescent="0.4">
      <c r="A118" s="12">
        <v>45733</v>
      </c>
      <c r="B118" s="17">
        <v>0.61388888888888893</v>
      </c>
      <c r="C118" s="10" t="s">
        <v>432</v>
      </c>
      <c r="D118" s="8" t="s">
        <v>401</v>
      </c>
      <c r="J118" s="20" t="s">
        <v>20</v>
      </c>
      <c r="K118">
        <v>1190</v>
      </c>
      <c r="L118">
        <v>789</v>
      </c>
      <c r="M118">
        <v>1190</v>
      </c>
      <c r="N118">
        <v>1280</v>
      </c>
      <c r="O118">
        <v>2290</v>
      </c>
      <c r="P118">
        <v>2267</v>
      </c>
      <c r="Q118">
        <v>20500</v>
      </c>
      <c r="V118" t="s">
        <v>25</v>
      </c>
      <c r="W118" t="s">
        <v>25</v>
      </c>
      <c r="X118">
        <v>3</v>
      </c>
      <c r="Y118" t="s">
        <v>643</v>
      </c>
    </row>
    <row r="119" spans="1:25" x14ac:dyDescent="0.4">
      <c r="A119" s="12">
        <v>45733</v>
      </c>
      <c r="B119" s="17">
        <v>0.61458333333333337</v>
      </c>
      <c r="C119" s="10" t="s">
        <v>433</v>
      </c>
      <c r="D119" s="8" t="s">
        <v>402</v>
      </c>
      <c r="J119" s="20" t="s">
        <v>87</v>
      </c>
      <c r="Q119">
        <v>15720</v>
      </c>
      <c r="V119" t="s">
        <v>26</v>
      </c>
      <c r="W119" t="s">
        <v>25</v>
      </c>
      <c r="X119">
        <v>3</v>
      </c>
      <c r="Y119" t="s">
        <v>644</v>
      </c>
    </row>
    <row r="120" spans="1:25" x14ac:dyDescent="0.4">
      <c r="A120" s="12">
        <v>45733</v>
      </c>
      <c r="B120" s="17">
        <v>0.61527777777777781</v>
      </c>
      <c r="C120" s="10" t="s">
        <v>434</v>
      </c>
      <c r="D120" s="8" t="s">
        <v>403</v>
      </c>
      <c r="J120" s="20" t="s">
        <v>37</v>
      </c>
      <c r="K120">
        <v>1650</v>
      </c>
      <c r="L120">
        <v>945</v>
      </c>
      <c r="M120">
        <v>1250</v>
      </c>
      <c r="N120">
        <v>1260</v>
      </c>
      <c r="O120">
        <v>1390</v>
      </c>
      <c r="P120">
        <v>3360</v>
      </c>
      <c r="Q120">
        <v>20000</v>
      </c>
      <c r="V120" t="s">
        <v>25</v>
      </c>
      <c r="W120" t="s">
        <v>25</v>
      </c>
      <c r="X120">
        <v>3</v>
      </c>
      <c r="Y120" t="s">
        <v>645</v>
      </c>
    </row>
    <row r="121" spans="1:25" x14ac:dyDescent="0.4">
      <c r="A121" s="12">
        <v>45733</v>
      </c>
      <c r="B121" s="17">
        <v>0.62013888888888891</v>
      </c>
      <c r="C121" s="10" t="s">
        <v>435</v>
      </c>
      <c r="D121" s="8" t="s">
        <v>404</v>
      </c>
      <c r="J121" s="20" t="s">
        <v>35</v>
      </c>
      <c r="O121">
        <v>1300</v>
      </c>
      <c r="V121" t="s">
        <v>26</v>
      </c>
      <c r="W121" t="s">
        <v>25</v>
      </c>
      <c r="X121">
        <v>3</v>
      </c>
      <c r="Y121" t="s">
        <v>646</v>
      </c>
    </row>
    <row r="122" spans="1:25" x14ac:dyDescent="0.4">
      <c r="A122" s="12">
        <v>45733</v>
      </c>
      <c r="B122" s="17">
        <v>0.62083333333333335</v>
      </c>
      <c r="C122" s="10" t="s">
        <v>436</v>
      </c>
      <c r="D122" s="8" t="s">
        <v>405</v>
      </c>
      <c r="J122" s="20" t="s">
        <v>21</v>
      </c>
      <c r="Q122">
        <v>20000</v>
      </c>
      <c r="V122" t="s">
        <v>25</v>
      </c>
      <c r="W122" t="s">
        <v>25</v>
      </c>
      <c r="X122">
        <v>3</v>
      </c>
      <c r="Y122" t="s">
        <v>647</v>
      </c>
    </row>
    <row r="123" spans="1:25" x14ac:dyDescent="0.4">
      <c r="A123" s="12">
        <v>45733</v>
      </c>
      <c r="B123" s="17">
        <v>0.62361111111111112</v>
      </c>
      <c r="C123" s="10" t="s">
        <v>437</v>
      </c>
      <c r="D123" s="8" t="s">
        <v>406</v>
      </c>
      <c r="J123" s="20" t="s">
        <v>20</v>
      </c>
      <c r="K123">
        <v>1190</v>
      </c>
      <c r="L123">
        <v>789</v>
      </c>
      <c r="M123">
        <v>1190</v>
      </c>
      <c r="N123">
        <v>1280</v>
      </c>
      <c r="O123">
        <v>2290</v>
      </c>
      <c r="P123">
        <v>2267</v>
      </c>
      <c r="Q123">
        <v>20500</v>
      </c>
      <c r="V123" t="s">
        <v>25</v>
      </c>
      <c r="W123" t="s">
        <v>25</v>
      </c>
      <c r="X123">
        <v>3</v>
      </c>
      <c r="Y123" t="s">
        <v>648</v>
      </c>
    </row>
    <row r="124" spans="1:25" x14ac:dyDescent="0.4">
      <c r="A124" s="12">
        <v>45733</v>
      </c>
      <c r="B124" s="17">
        <v>0.62708333333333333</v>
      </c>
      <c r="C124" s="10" t="s">
        <v>438</v>
      </c>
      <c r="D124" s="8" t="s">
        <v>407</v>
      </c>
      <c r="J124" s="20" t="s">
        <v>24</v>
      </c>
      <c r="K124">
        <v>1900</v>
      </c>
      <c r="L124">
        <v>1100</v>
      </c>
      <c r="P124">
        <v>1850</v>
      </c>
      <c r="V124" t="s">
        <v>26</v>
      </c>
      <c r="W124" t="s">
        <v>25</v>
      </c>
      <c r="X124">
        <v>3</v>
      </c>
      <c r="Y124" t="s">
        <v>649</v>
      </c>
    </row>
    <row r="125" spans="1:25" x14ac:dyDescent="0.4">
      <c r="A125" s="12">
        <v>45733</v>
      </c>
      <c r="B125" s="17">
        <v>0.63124999999999998</v>
      </c>
      <c r="C125" s="10" t="s">
        <v>439</v>
      </c>
      <c r="D125" s="8" t="s">
        <v>408</v>
      </c>
      <c r="J125" s="20" t="s">
        <v>35</v>
      </c>
      <c r="O125">
        <v>800</v>
      </c>
      <c r="V125" t="s">
        <v>26</v>
      </c>
      <c r="W125" t="s">
        <v>25</v>
      </c>
      <c r="X125">
        <v>3</v>
      </c>
      <c r="Y125" t="s">
        <v>650</v>
      </c>
    </row>
    <row r="126" spans="1:25" x14ac:dyDescent="0.4">
      <c r="A126" s="12">
        <v>45733</v>
      </c>
      <c r="B126" s="17">
        <v>0.63263888888888886</v>
      </c>
      <c r="C126" s="10" t="s">
        <v>440</v>
      </c>
      <c r="D126" s="8" t="s">
        <v>409</v>
      </c>
      <c r="J126" s="20" t="s">
        <v>20</v>
      </c>
      <c r="K126">
        <v>1190</v>
      </c>
      <c r="L126">
        <v>789</v>
      </c>
      <c r="M126">
        <v>1190</v>
      </c>
      <c r="N126">
        <v>1280</v>
      </c>
      <c r="O126">
        <v>2290</v>
      </c>
      <c r="P126">
        <v>2267</v>
      </c>
      <c r="Q126">
        <v>20500</v>
      </c>
      <c r="V126" t="s">
        <v>25</v>
      </c>
      <c r="W126" t="s">
        <v>25</v>
      </c>
      <c r="X126">
        <v>3</v>
      </c>
      <c r="Y126" t="s">
        <v>652</v>
      </c>
    </row>
    <row r="127" spans="1:25" x14ac:dyDescent="0.4">
      <c r="A127" s="12">
        <v>45733</v>
      </c>
      <c r="B127" s="17">
        <v>0.63611111111111107</v>
      </c>
      <c r="C127" s="10" t="s">
        <v>441</v>
      </c>
      <c r="D127" s="8" t="s">
        <v>410</v>
      </c>
      <c r="J127" s="20" t="s">
        <v>24</v>
      </c>
      <c r="K127">
        <v>1700</v>
      </c>
      <c r="L127">
        <v>1000</v>
      </c>
      <c r="M127">
        <v>1700</v>
      </c>
      <c r="N127">
        <v>1500</v>
      </c>
      <c r="O127">
        <v>1500</v>
      </c>
      <c r="P127">
        <v>4800</v>
      </c>
      <c r="V127" t="s">
        <v>26</v>
      </c>
      <c r="W127" t="s">
        <v>25</v>
      </c>
      <c r="X127">
        <v>3</v>
      </c>
      <c r="Y127" t="s">
        <v>651</v>
      </c>
    </row>
    <row r="128" spans="1:25" x14ac:dyDescent="0.4">
      <c r="A128" s="12">
        <v>45733</v>
      </c>
      <c r="B128" s="17">
        <v>0.64583333333333337</v>
      </c>
      <c r="C128" s="10" t="s">
        <v>442</v>
      </c>
      <c r="D128" s="8" t="s">
        <v>411</v>
      </c>
      <c r="J128" s="20" t="s">
        <v>24</v>
      </c>
      <c r="K128">
        <v>1800</v>
      </c>
      <c r="L128">
        <v>1200</v>
      </c>
      <c r="M128">
        <v>1500</v>
      </c>
      <c r="N128">
        <v>2000</v>
      </c>
      <c r="O128">
        <v>1500</v>
      </c>
      <c r="P128">
        <v>1700</v>
      </c>
      <c r="V128" t="s">
        <v>26</v>
      </c>
      <c r="W128" t="s">
        <v>25</v>
      </c>
      <c r="X128">
        <v>3</v>
      </c>
      <c r="Y128" t="s">
        <v>653</v>
      </c>
    </row>
    <row r="129" spans="1:26" x14ac:dyDescent="0.4">
      <c r="A129" s="12">
        <v>45733</v>
      </c>
      <c r="B129" s="17">
        <v>0.65902777777777777</v>
      </c>
      <c r="C129" s="10" t="s">
        <v>443</v>
      </c>
      <c r="D129" s="8" t="s">
        <v>412</v>
      </c>
      <c r="J129" s="20" t="s">
        <v>20</v>
      </c>
      <c r="K129">
        <v>1190</v>
      </c>
      <c r="L129">
        <v>789</v>
      </c>
      <c r="M129">
        <v>1190</v>
      </c>
      <c r="N129">
        <v>1280</v>
      </c>
      <c r="O129">
        <v>2290</v>
      </c>
      <c r="P129">
        <v>2267</v>
      </c>
      <c r="Q129">
        <v>20500</v>
      </c>
      <c r="V129" t="s">
        <v>25</v>
      </c>
      <c r="W129" t="s">
        <v>25</v>
      </c>
      <c r="X129">
        <v>3</v>
      </c>
      <c r="Y129" t="s">
        <v>654</v>
      </c>
    </row>
    <row r="130" spans="1:26" x14ac:dyDescent="0.4">
      <c r="A130" s="12">
        <v>45733</v>
      </c>
      <c r="B130" s="17">
        <v>0.65972222222222221</v>
      </c>
      <c r="C130" s="10" t="s">
        <v>444</v>
      </c>
      <c r="D130" s="8" t="s">
        <v>413</v>
      </c>
      <c r="J130" s="20" t="s">
        <v>21</v>
      </c>
      <c r="Q130">
        <v>20000</v>
      </c>
      <c r="V130" t="s">
        <v>25</v>
      </c>
      <c r="W130" t="s">
        <v>25</v>
      </c>
      <c r="X130">
        <v>3</v>
      </c>
      <c r="Y130" t="s">
        <v>655</v>
      </c>
    </row>
    <row r="131" spans="1:26" x14ac:dyDescent="0.4">
      <c r="A131" s="12">
        <v>45733</v>
      </c>
      <c r="B131" s="17">
        <v>0.66041666666666665</v>
      </c>
      <c r="C131" s="10" t="s">
        <v>445</v>
      </c>
      <c r="D131" s="8" t="s">
        <v>414</v>
      </c>
      <c r="J131" s="20" t="s">
        <v>61</v>
      </c>
      <c r="K131">
        <v>1820</v>
      </c>
      <c r="L131">
        <v>950</v>
      </c>
      <c r="M131">
        <v>1350</v>
      </c>
      <c r="N131">
        <v>1760</v>
      </c>
      <c r="O131">
        <v>1499</v>
      </c>
      <c r="P131">
        <v>1540</v>
      </c>
      <c r="Q131">
        <v>19909</v>
      </c>
      <c r="V131" t="s">
        <v>25</v>
      </c>
      <c r="W131" t="s">
        <v>25</v>
      </c>
      <c r="X131">
        <v>3</v>
      </c>
      <c r="Y131" t="s">
        <v>636</v>
      </c>
    </row>
    <row r="132" spans="1:26" x14ac:dyDescent="0.4">
      <c r="A132" s="12">
        <v>45733</v>
      </c>
      <c r="B132" s="17">
        <v>0.66597222222222219</v>
      </c>
      <c r="C132" s="10" t="s">
        <v>446</v>
      </c>
      <c r="D132" s="8" t="s">
        <v>415</v>
      </c>
      <c r="J132" s="20" t="s">
        <v>60</v>
      </c>
      <c r="K132">
        <v>1820</v>
      </c>
      <c r="L132">
        <v>950</v>
      </c>
      <c r="M132">
        <v>1400</v>
      </c>
      <c r="N132">
        <v>1679</v>
      </c>
      <c r="O132">
        <v>1399</v>
      </c>
      <c r="P132">
        <v>1390</v>
      </c>
      <c r="Q132">
        <v>16999</v>
      </c>
      <c r="V132" t="s">
        <v>25</v>
      </c>
      <c r="W132" t="s">
        <v>25</v>
      </c>
      <c r="X132">
        <v>3</v>
      </c>
      <c r="Y132" t="s">
        <v>656</v>
      </c>
    </row>
    <row r="133" spans="1:26" x14ac:dyDescent="0.4">
      <c r="A133" s="12">
        <v>45733</v>
      </c>
      <c r="B133" s="17">
        <v>0.68958333333333333</v>
      </c>
      <c r="C133" s="10" t="s">
        <v>447</v>
      </c>
      <c r="D133" s="8" t="s">
        <v>416</v>
      </c>
      <c r="J133" s="20" t="s">
        <v>24</v>
      </c>
      <c r="K133">
        <v>2300</v>
      </c>
      <c r="L133">
        <v>1400</v>
      </c>
      <c r="M133">
        <v>1900</v>
      </c>
      <c r="N133">
        <v>2800</v>
      </c>
      <c r="P133">
        <v>2200</v>
      </c>
      <c r="V133" t="s">
        <v>26</v>
      </c>
      <c r="W133" t="s">
        <v>25</v>
      </c>
      <c r="X133">
        <v>3</v>
      </c>
      <c r="Y133" t="s">
        <v>658</v>
      </c>
    </row>
    <row r="134" spans="1:26" x14ac:dyDescent="0.4">
      <c r="A134" s="12">
        <v>45733</v>
      </c>
      <c r="B134" s="17">
        <v>0.70833333333333337</v>
      </c>
      <c r="C134" s="10" t="s">
        <v>448</v>
      </c>
      <c r="D134" s="8" t="s">
        <v>417</v>
      </c>
      <c r="J134" s="20" t="s">
        <v>87</v>
      </c>
      <c r="Q134">
        <v>26000</v>
      </c>
      <c r="V134" t="s">
        <v>26</v>
      </c>
      <c r="W134" t="s">
        <v>25</v>
      </c>
      <c r="X134">
        <v>3</v>
      </c>
      <c r="Y134" t="s">
        <v>657</v>
      </c>
    </row>
    <row r="135" spans="1:26" x14ac:dyDescent="0.4">
      <c r="A135" s="12">
        <v>45733</v>
      </c>
      <c r="B135" s="17">
        <v>0.71805555555555556</v>
      </c>
      <c r="C135" s="10" t="s">
        <v>449</v>
      </c>
      <c r="D135" s="8" t="s">
        <v>418</v>
      </c>
      <c r="J135" s="20" t="s">
        <v>21</v>
      </c>
      <c r="Q135">
        <v>20000</v>
      </c>
      <c r="V135" t="s">
        <v>25</v>
      </c>
      <c r="W135" t="s">
        <v>25</v>
      </c>
      <c r="X135">
        <v>3</v>
      </c>
      <c r="Y135" t="s">
        <v>659</v>
      </c>
    </row>
    <row r="136" spans="1:26" x14ac:dyDescent="0.4">
      <c r="A136" s="12">
        <v>45733</v>
      </c>
      <c r="B136" s="17">
        <v>0.7319444444444444</v>
      </c>
      <c r="C136" s="10" t="s">
        <v>450</v>
      </c>
      <c r="D136" s="8" t="s">
        <v>419</v>
      </c>
      <c r="J136" s="20" t="s">
        <v>35</v>
      </c>
      <c r="O136">
        <v>1000</v>
      </c>
      <c r="V136" t="s">
        <v>26</v>
      </c>
      <c r="W136" t="s">
        <v>25</v>
      </c>
      <c r="X136">
        <v>3</v>
      </c>
      <c r="Y136" t="s">
        <v>660</v>
      </c>
    </row>
    <row r="137" spans="1:26" x14ac:dyDescent="0.4">
      <c r="A137" s="12">
        <v>45733</v>
      </c>
      <c r="B137" s="17">
        <v>0.73402777777777772</v>
      </c>
      <c r="C137" s="10" t="s">
        <v>451</v>
      </c>
      <c r="D137" s="8" t="s">
        <v>420</v>
      </c>
      <c r="J137" s="20" t="s">
        <v>21</v>
      </c>
      <c r="Q137">
        <v>20000</v>
      </c>
      <c r="V137" t="s">
        <v>25</v>
      </c>
      <c r="W137" t="s">
        <v>25</v>
      </c>
      <c r="X137">
        <v>3</v>
      </c>
      <c r="Y137" t="s">
        <v>661</v>
      </c>
    </row>
    <row r="138" spans="1:26" x14ac:dyDescent="0.4">
      <c r="A138" s="12">
        <v>45733</v>
      </c>
      <c r="B138" s="17">
        <v>0.74236111111111114</v>
      </c>
      <c r="C138" s="10" t="s">
        <v>452</v>
      </c>
      <c r="D138" s="8" t="s">
        <v>421</v>
      </c>
      <c r="J138" s="20" t="s">
        <v>20</v>
      </c>
      <c r="K138">
        <v>1190</v>
      </c>
      <c r="L138">
        <v>789</v>
      </c>
      <c r="M138">
        <v>1190</v>
      </c>
      <c r="N138">
        <v>1280</v>
      </c>
      <c r="O138">
        <v>2290</v>
      </c>
      <c r="P138">
        <v>2267</v>
      </c>
      <c r="Q138">
        <v>20500</v>
      </c>
      <c r="V138" t="s">
        <v>25</v>
      </c>
      <c r="W138" t="s">
        <v>25</v>
      </c>
      <c r="X138">
        <v>3</v>
      </c>
      <c r="Y138" t="s">
        <v>662</v>
      </c>
    </row>
    <row r="139" spans="1:26" x14ac:dyDescent="0.4">
      <c r="A139" s="12">
        <v>45733</v>
      </c>
      <c r="B139" s="17">
        <v>0.74305555555555558</v>
      </c>
      <c r="C139" s="10" t="s">
        <v>453</v>
      </c>
      <c r="D139" s="8" t="s">
        <v>422</v>
      </c>
      <c r="J139" s="20" t="s">
        <v>87</v>
      </c>
      <c r="Q139">
        <v>16000</v>
      </c>
      <c r="V139" t="s">
        <v>26</v>
      </c>
      <c r="W139" t="s">
        <v>25</v>
      </c>
      <c r="X139">
        <v>3</v>
      </c>
      <c r="Y139" t="s">
        <v>663</v>
      </c>
    </row>
    <row r="140" spans="1:26" x14ac:dyDescent="0.4">
      <c r="A140" s="12">
        <v>45733</v>
      </c>
      <c r="B140" s="17">
        <v>0.74375000000000002</v>
      </c>
      <c r="C140" s="10" t="s">
        <v>454</v>
      </c>
      <c r="D140" s="8" t="s">
        <v>423</v>
      </c>
      <c r="J140" s="20" t="s">
        <v>35</v>
      </c>
      <c r="O140">
        <v>1500</v>
      </c>
      <c r="V140" t="s">
        <v>26</v>
      </c>
      <c r="W140" t="s">
        <v>25</v>
      </c>
      <c r="X140">
        <v>3</v>
      </c>
      <c r="Y140" t="s">
        <v>664</v>
      </c>
    </row>
    <row r="141" spans="1:26" x14ac:dyDescent="0.4">
      <c r="A141" s="12">
        <v>45733</v>
      </c>
      <c r="B141" s="17">
        <v>0.74444444444444446</v>
      </c>
      <c r="C141" s="10" t="s">
        <v>455</v>
      </c>
      <c r="D141" s="8" t="s">
        <v>424</v>
      </c>
      <c r="J141" s="20" t="s">
        <v>37</v>
      </c>
      <c r="K141">
        <v>1290</v>
      </c>
      <c r="L141">
        <v>945</v>
      </c>
      <c r="M141">
        <v>1090</v>
      </c>
      <c r="N141">
        <v>1225</v>
      </c>
      <c r="O141">
        <v>890</v>
      </c>
      <c r="P141">
        <f>3895/2</f>
        <v>1947.5</v>
      </c>
      <c r="Q141">
        <v>15600</v>
      </c>
      <c r="V141" t="s">
        <v>25</v>
      </c>
      <c r="W141" t="s">
        <v>25</v>
      </c>
      <c r="X141">
        <v>3</v>
      </c>
      <c r="Y141" t="s">
        <v>665</v>
      </c>
    </row>
    <row r="142" spans="1:26" s="15" customFormat="1" x14ac:dyDescent="0.4">
      <c r="A142" s="14"/>
      <c r="D142" s="16"/>
      <c r="K142" s="15" t="s">
        <v>5</v>
      </c>
      <c r="L142" s="15" t="s">
        <v>243</v>
      </c>
      <c r="M142" s="15" t="s">
        <v>6</v>
      </c>
      <c r="N142" s="15" t="s">
        <v>7</v>
      </c>
      <c r="O142" s="15" t="s">
        <v>8</v>
      </c>
      <c r="P142" s="15" t="s">
        <v>9</v>
      </c>
      <c r="Q142" s="15" t="s">
        <v>10</v>
      </c>
      <c r="R142" s="15" t="s">
        <v>11</v>
      </c>
      <c r="S142" s="15" t="s">
        <v>12</v>
      </c>
      <c r="T142" s="15" t="s">
        <v>13</v>
      </c>
      <c r="U142" s="15" t="s">
        <v>14</v>
      </c>
      <c r="V142" s="15" t="s">
        <v>244</v>
      </c>
      <c r="W142" s="15" t="s">
        <v>15</v>
      </c>
      <c r="X142" s="15" t="s">
        <v>259</v>
      </c>
      <c r="Y142" s="15" t="s">
        <v>237</v>
      </c>
      <c r="Z142" s="15" t="s">
        <v>16</v>
      </c>
    </row>
    <row r="143" spans="1:26" x14ac:dyDescent="0.4">
      <c r="B143" t="s">
        <v>488</v>
      </c>
      <c r="C143" s="10" t="s">
        <v>706</v>
      </c>
      <c r="D143" s="8" t="s">
        <v>489</v>
      </c>
      <c r="J143" s="20" t="s">
        <v>20</v>
      </c>
      <c r="K143">
        <v>1190</v>
      </c>
      <c r="L143">
        <v>789</v>
      </c>
      <c r="M143">
        <v>1190</v>
      </c>
      <c r="N143">
        <v>1280</v>
      </c>
      <c r="O143">
        <v>2290</v>
      </c>
      <c r="P143">
        <v>2267</v>
      </c>
      <c r="Q143">
        <v>20500</v>
      </c>
      <c r="X143">
        <v>4</v>
      </c>
      <c r="Y143" t="s">
        <v>666</v>
      </c>
    </row>
    <row r="144" spans="1:26" x14ac:dyDescent="0.4">
      <c r="B144" t="s">
        <v>488</v>
      </c>
      <c r="C144" s="10" t="s">
        <v>707</v>
      </c>
      <c r="D144" s="8" t="s">
        <v>490</v>
      </c>
      <c r="J144" t="s">
        <v>47</v>
      </c>
      <c r="X144">
        <v>4</v>
      </c>
      <c r="Y144" t="s">
        <v>806</v>
      </c>
    </row>
    <row r="145" spans="2:25" x14ac:dyDescent="0.4">
      <c r="B145" t="s">
        <v>488</v>
      </c>
      <c r="C145" s="10" t="s">
        <v>708</v>
      </c>
      <c r="D145" s="8" t="s">
        <v>494</v>
      </c>
      <c r="J145" t="s">
        <v>24</v>
      </c>
      <c r="X145">
        <v>4</v>
      </c>
      <c r="Y145" t="s">
        <v>667</v>
      </c>
    </row>
    <row r="146" spans="2:25" x14ac:dyDescent="0.4">
      <c r="B146" t="s">
        <v>488</v>
      </c>
      <c r="C146" s="10" t="s">
        <v>709</v>
      </c>
      <c r="D146" s="8" t="s">
        <v>496</v>
      </c>
      <c r="J146" t="s">
        <v>24</v>
      </c>
      <c r="X146">
        <v>4</v>
      </c>
      <c r="Y146" t="s">
        <v>668</v>
      </c>
    </row>
    <row r="147" spans="2:25" x14ac:dyDescent="0.4">
      <c r="B147" t="s">
        <v>488</v>
      </c>
      <c r="C147" s="10" t="s">
        <v>710</v>
      </c>
      <c r="D147" s="8" t="s">
        <v>497</v>
      </c>
      <c r="J147" t="s">
        <v>20</v>
      </c>
      <c r="X147">
        <v>4</v>
      </c>
      <c r="Y147" t="s">
        <v>669</v>
      </c>
    </row>
    <row r="148" spans="2:25" x14ac:dyDescent="0.4">
      <c r="B148" t="s">
        <v>488</v>
      </c>
      <c r="C148" s="10" t="s">
        <v>711</v>
      </c>
      <c r="D148" s="8" t="s">
        <v>500</v>
      </c>
      <c r="J148" t="s">
        <v>35</v>
      </c>
      <c r="X148">
        <v>4</v>
      </c>
      <c r="Y148" t="s">
        <v>670</v>
      </c>
    </row>
    <row r="149" spans="2:25" x14ac:dyDescent="0.4">
      <c r="B149" t="s">
        <v>488</v>
      </c>
      <c r="C149" s="10" t="s">
        <v>712</v>
      </c>
      <c r="D149" s="8" t="s">
        <v>501</v>
      </c>
      <c r="J149" t="s">
        <v>502</v>
      </c>
      <c r="X149">
        <v>4</v>
      </c>
      <c r="Y149" t="s">
        <v>805</v>
      </c>
    </row>
    <row r="150" spans="2:25" x14ac:dyDescent="0.4">
      <c r="B150" t="s">
        <v>488</v>
      </c>
      <c r="C150" s="10" t="s">
        <v>713</v>
      </c>
      <c r="D150" s="8" t="s">
        <v>503</v>
      </c>
      <c r="J150" t="s">
        <v>24</v>
      </c>
      <c r="X150">
        <v>4</v>
      </c>
      <c r="Y150" t="s">
        <v>671</v>
      </c>
    </row>
    <row r="151" spans="2:25" x14ac:dyDescent="0.4">
      <c r="B151" t="s">
        <v>488</v>
      </c>
      <c r="C151" s="10" t="s">
        <v>714</v>
      </c>
      <c r="D151" s="8" t="s">
        <v>506</v>
      </c>
      <c r="J151" t="s">
        <v>24</v>
      </c>
      <c r="X151">
        <v>4</v>
      </c>
      <c r="Y151" t="s">
        <v>804</v>
      </c>
    </row>
    <row r="152" spans="2:25" x14ac:dyDescent="0.4">
      <c r="B152" t="s">
        <v>488</v>
      </c>
      <c r="C152" s="10" t="s">
        <v>715</v>
      </c>
      <c r="D152" s="8" t="s">
        <v>508</v>
      </c>
      <c r="J152" t="s">
        <v>24</v>
      </c>
      <c r="X152">
        <v>4</v>
      </c>
      <c r="Y152" t="s">
        <v>672</v>
      </c>
    </row>
    <row r="153" spans="2:25" x14ac:dyDescent="0.4">
      <c r="B153" t="s">
        <v>488</v>
      </c>
      <c r="C153" s="10" t="s">
        <v>716</v>
      </c>
      <c r="D153" s="8" t="s">
        <v>510</v>
      </c>
      <c r="J153" t="s">
        <v>20</v>
      </c>
      <c r="X153">
        <v>4</v>
      </c>
      <c r="Y153" t="s">
        <v>673</v>
      </c>
    </row>
    <row r="154" spans="2:25" x14ac:dyDescent="0.4">
      <c r="B154" t="s">
        <v>488</v>
      </c>
      <c r="C154" s="10" t="s">
        <v>717</v>
      </c>
      <c r="D154" s="8" t="s">
        <v>512</v>
      </c>
      <c r="J154" t="s">
        <v>24</v>
      </c>
      <c r="X154">
        <v>4</v>
      </c>
      <c r="Y154" t="s">
        <v>803</v>
      </c>
    </row>
    <row r="155" spans="2:25" x14ac:dyDescent="0.4">
      <c r="B155" t="s">
        <v>488</v>
      </c>
      <c r="C155" s="10" t="s">
        <v>718</v>
      </c>
      <c r="D155" s="8" t="s">
        <v>514</v>
      </c>
      <c r="J155" t="s">
        <v>20</v>
      </c>
      <c r="X155">
        <v>4</v>
      </c>
      <c r="Y155" t="s">
        <v>802</v>
      </c>
    </row>
    <row r="156" spans="2:25" x14ac:dyDescent="0.4">
      <c r="B156" t="s">
        <v>488</v>
      </c>
      <c r="C156" s="10" t="s">
        <v>719</v>
      </c>
      <c r="D156" s="8" t="s">
        <v>516</v>
      </c>
      <c r="J156" t="s">
        <v>20</v>
      </c>
      <c r="X156">
        <v>4</v>
      </c>
      <c r="Y156" t="s">
        <v>801</v>
      </c>
    </row>
    <row r="157" spans="2:25" x14ac:dyDescent="0.4">
      <c r="B157" t="s">
        <v>488</v>
      </c>
      <c r="C157" s="10" t="s">
        <v>720</v>
      </c>
      <c r="D157" s="8" t="s">
        <v>518</v>
      </c>
      <c r="J157" t="s">
        <v>47</v>
      </c>
      <c r="X157">
        <v>4</v>
      </c>
      <c r="Y157" t="s">
        <v>674</v>
      </c>
    </row>
    <row r="158" spans="2:25" x14ac:dyDescent="0.4">
      <c r="B158" t="s">
        <v>488</v>
      </c>
      <c r="C158" s="10" t="s">
        <v>721</v>
      </c>
      <c r="D158" s="8" t="s">
        <v>520</v>
      </c>
      <c r="J158" t="s">
        <v>20</v>
      </c>
      <c r="X158">
        <v>4</v>
      </c>
      <c r="Y158" t="s">
        <v>675</v>
      </c>
    </row>
    <row r="159" spans="2:25" x14ac:dyDescent="0.4">
      <c r="B159" t="s">
        <v>488</v>
      </c>
      <c r="C159" s="10" t="s">
        <v>722</v>
      </c>
      <c r="D159" s="8" t="s">
        <v>522</v>
      </c>
      <c r="J159" t="s">
        <v>21</v>
      </c>
      <c r="X159">
        <v>4</v>
      </c>
      <c r="Y159" t="s">
        <v>676</v>
      </c>
    </row>
    <row r="160" spans="2:25" x14ac:dyDescent="0.4">
      <c r="B160" t="s">
        <v>488</v>
      </c>
      <c r="C160" s="10" t="s">
        <v>723</v>
      </c>
      <c r="D160" s="8" t="s">
        <v>524</v>
      </c>
      <c r="J160" t="s">
        <v>58</v>
      </c>
      <c r="X160">
        <v>4</v>
      </c>
      <c r="Y160" t="s">
        <v>677</v>
      </c>
    </row>
    <row r="161" spans="2:25" x14ac:dyDescent="0.4">
      <c r="B161" t="s">
        <v>488</v>
      </c>
      <c r="C161" s="10" t="s">
        <v>724</v>
      </c>
      <c r="D161" s="8" t="s">
        <v>526</v>
      </c>
      <c r="J161" t="s">
        <v>58</v>
      </c>
      <c r="X161">
        <v>4</v>
      </c>
      <c r="Y161" t="s">
        <v>807</v>
      </c>
    </row>
    <row r="162" spans="2:25" x14ac:dyDescent="0.4">
      <c r="B162" t="s">
        <v>488</v>
      </c>
      <c r="C162" s="10" t="s">
        <v>725</v>
      </c>
      <c r="D162" s="8" t="s">
        <v>528</v>
      </c>
      <c r="J162" t="s">
        <v>20</v>
      </c>
      <c r="X162">
        <v>4</v>
      </c>
      <c r="Y162" t="s">
        <v>678</v>
      </c>
    </row>
    <row r="163" spans="2:25" x14ac:dyDescent="0.4">
      <c r="B163" t="s">
        <v>488</v>
      </c>
      <c r="C163" s="10" t="s">
        <v>726</v>
      </c>
      <c r="D163" s="8" t="s">
        <v>530</v>
      </c>
      <c r="J163" t="s">
        <v>20</v>
      </c>
      <c r="X163">
        <v>4</v>
      </c>
      <c r="Y163" t="s">
        <v>679</v>
      </c>
    </row>
    <row r="164" spans="2:25" x14ac:dyDescent="0.4">
      <c r="B164" t="s">
        <v>488</v>
      </c>
      <c r="C164" s="10" t="s">
        <v>727</v>
      </c>
      <c r="D164" s="8" t="s">
        <v>532</v>
      </c>
      <c r="J164" t="s">
        <v>20</v>
      </c>
      <c r="X164">
        <v>4</v>
      </c>
      <c r="Y164" t="s">
        <v>680</v>
      </c>
    </row>
    <row r="165" spans="2:25" x14ac:dyDescent="0.4">
      <c r="B165" t="s">
        <v>488</v>
      </c>
      <c r="C165" s="10" t="s">
        <v>728</v>
      </c>
      <c r="D165" s="8" t="s">
        <v>534</v>
      </c>
      <c r="J165" t="s">
        <v>21</v>
      </c>
      <c r="X165">
        <v>4</v>
      </c>
      <c r="Y165" t="s">
        <v>681</v>
      </c>
    </row>
    <row r="166" spans="2:25" x14ac:dyDescent="0.4">
      <c r="B166" t="s">
        <v>488</v>
      </c>
      <c r="C166" s="10" t="s">
        <v>729</v>
      </c>
      <c r="D166" s="8" t="s">
        <v>536</v>
      </c>
      <c r="J166" t="s">
        <v>37</v>
      </c>
      <c r="X166">
        <v>4</v>
      </c>
      <c r="Y166" t="s">
        <v>682</v>
      </c>
    </row>
    <row r="167" spans="2:25" x14ac:dyDescent="0.4">
      <c r="B167" t="s">
        <v>488</v>
      </c>
      <c r="C167" s="10" t="s">
        <v>730</v>
      </c>
      <c r="D167" s="8" t="s">
        <v>538</v>
      </c>
      <c r="J167" t="s">
        <v>24</v>
      </c>
      <c r="X167">
        <v>4</v>
      </c>
      <c r="Y167" t="s">
        <v>683</v>
      </c>
    </row>
    <row r="168" spans="2:25" x14ac:dyDescent="0.4">
      <c r="B168" t="s">
        <v>488</v>
      </c>
      <c r="C168" s="10" t="s">
        <v>731</v>
      </c>
      <c r="D168" s="8" t="s">
        <v>540</v>
      </c>
      <c r="J168" t="s">
        <v>24</v>
      </c>
      <c r="X168">
        <v>4</v>
      </c>
      <c r="Y168" t="s">
        <v>684</v>
      </c>
    </row>
    <row r="169" spans="2:25" x14ac:dyDescent="0.4">
      <c r="B169" t="s">
        <v>488</v>
      </c>
      <c r="C169" s="10" t="s">
        <v>732</v>
      </c>
      <c r="D169" s="8" t="s">
        <v>542</v>
      </c>
      <c r="J169" t="s">
        <v>35</v>
      </c>
      <c r="X169">
        <v>4</v>
      </c>
      <c r="Y169" t="s">
        <v>800</v>
      </c>
    </row>
    <row r="170" spans="2:25" x14ac:dyDescent="0.4">
      <c r="B170" t="s">
        <v>488</v>
      </c>
      <c r="C170" s="10" t="s">
        <v>733</v>
      </c>
      <c r="D170" s="8" t="s">
        <v>544</v>
      </c>
      <c r="J170" t="s">
        <v>24</v>
      </c>
      <c r="X170">
        <v>4</v>
      </c>
      <c r="Y170" t="s">
        <v>799</v>
      </c>
    </row>
    <row r="171" spans="2:25" x14ac:dyDescent="0.4">
      <c r="B171" t="s">
        <v>488</v>
      </c>
      <c r="C171" s="10" t="s">
        <v>734</v>
      </c>
      <c r="D171" s="8" t="s">
        <v>546</v>
      </c>
      <c r="J171" t="s">
        <v>20</v>
      </c>
      <c r="X171">
        <v>4</v>
      </c>
      <c r="Y171" t="s">
        <v>685</v>
      </c>
    </row>
    <row r="172" spans="2:25" x14ac:dyDescent="0.4">
      <c r="B172" t="s">
        <v>488</v>
      </c>
      <c r="C172" s="10" t="s">
        <v>735</v>
      </c>
      <c r="D172" s="8" t="s">
        <v>548</v>
      </c>
      <c r="J172" t="s">
        <v>35</v>
      </c>
      <c r="X172">
        <v>4</v>
      </c>
      <c r="Y172" t="s">
        <v>798</v>
      </c>
    </row>
    <row r="173" spans="2:25" x14ac:dyDescent="0.4">
      <c r="B173" t="s">
        <v>488</v>
      </c>
      <c r="C173" s="10" t="s">
        <v>736</v>
      </c>
      <c r="D173" s="8" t="s">
        <v>550</v>
      </c>
      <c r="J173" t="s">
        <v>24</v>
      </c>
      <c r="X173">
        <v>4</v>
      </c>
      <c r="Y173" t="s">
        <v>797</v>
      </c>
    </row>
    <row r="174" spans="2:25" x14ac:dyDescent="0.4">
      <c r="B174" t="s">
        <v>488</v>
      </c>
      <c r="C174" s="10" t="s">
        <v>737</v>
      </c>
      <c r="D174" s="8" t="s">
        <v>552</v>
      </c>
      <c r="J174" t="s">
        <v>20</v>
      </c>
      <c r="X174">
        <v>4</v>
      </c>
      <c r="Y174" t="s">
        <v>796</v>
      </c>
    </row>
    <row r="175" spans="2:25" x14ac:dyDescent="0.4">
      <c r="B175" t="s">
        <v>488</v>
      </c>
      <c r="C175" s="10" t="s">
        <v>738</v>
      </c>
      <c r="D175" s="8" t="s">
        <v>554</v>
      </c>
      <c r="J175" t="s">
        <v>47</v>
      </c>
      <c r="X175">
        <v>4</v>
      </c>
      <c r="Y175" t="s">
        <v>778</v>
      </c>
    </row>
    <row r="176" spans="2:25" x14ac:dyDescent="0.4">
      <c r="B176" t="s">
        <v>488</v>
      </c>
      <c r="C176" s="10" t="s">
        <v>739</v>
      </c>
      <c r="D176" s="8" t="s">
        <v>556</v>
      </c>
      <c r="J176" t="s">
        <v>37</v>
      </c>
      <c r="X176">
        <v>4</v>
      </c>
      <c r="Y176" t="s">
        <v>686</v>
      </c>
    </row>
    <row r="177" spans="2:25" x14ac:dyDescent="0.4">
      <c r="B177" t="s">
        <v>488</v>
      </c>
      <c r="C177" s="10" t="s">
        <v>740</v>
      </c>
      <c r="D177" s="8" t="s">
        <v>558</v>
      </c>
      <c r="J177" t="s">
        <v>47</v>
      </c>
      <c r="X177">
        <v>4</v>
      </c>
      <c r="Y177" t="s">
        <v>795</v>
      </c>
    </row>
    <row r="178" spans="2:25" x14ac:dyDescent="0.4">
      <c r="B178" t="s">
        <v>488</v>
      </c>
      <c r="C178" s="10" t="s">
        <v>741</v>
      </c>
      <c r="D178" s="8" t="s">
        <v>560</v>
      </c>
      <c r="J178" t="s">
        <v>35</v>
      </c>
      <c r="X178">
        <v>4</v>
      </c>
      <c r="Y178" t="s">
        <v>687</v>
      </c>
    </row>
    <row r="179" spans="2:25" x14ac:dyDescent="0.4">
      <c r="B179" t="s">
        <v>488</v>
      </c>
      <c r="C179" s="10" t="s">
        <v>742</v>
      </c>
      <c r="D179" s="8" t="s">
        <v>562</v>
      </c>
      <c r="J179" t="s">
        <v>47</v>
      </c>
      <c r="X179">
        <v>4</v>
      </c>
      <c r="Y179" t="s">
        <v>809</v>
      </c>
    </row>
    <row r="180" spans="2:25" x14ac:dyDescent="0.4">
      <c r="B180" t="s">
        <v>488</v>
      </c>
      <c r="C180" s="10" t="s">
        <v>743</v>
      </c>
      <c r="D180" s="8" t="s">
        <v>564</v>
      </c>
      <c r="J180" t="s">
        <v>37</v>
      </c>
      <c r="X180">
        <v>4</v>
      </c>
      <c r="Y180" t="s">
        <v>779</v>
      </c>
    </row>
    <row r="181" spans="2:25" x14ac:dyDescent="0.4">
      <c r="B181" t="s">
        <v>488</v>
      </c>
      <c r="C181" s="10" t="s">
        <v>744</v>
      </c>
      <c r="D181" s="8" t="s">
        <v>566</v>
      </c>
      <c r="J181" t="s">
        <v>60</v>
      </c>
      <c r="X181">
        <v>4</v>
      </c>
      <c r="Y181" t="s">
        <v>688</v>
      </c>
    </row>
    <row r="182" spans="2:25" x14ac:dyDescent="0.4">
      <c r="B182" t="s">
        <v>488</v>
      </c>
      <c r="C182" s="10" t="s">
        <v>745</v>
      </c>
      <c r="D182" s="8" t="s">
        <v>568</v>
      </c>
      <c r="J182" t="s">
        <v>20</v>
      </c>
      <c r="X182">
        <v>4</v>
      </c>
      <c r="Y182" t="s">
        <v>689</v>
      </c>
    </row>
    <row r="183" spans="2:25" x14ac:dyDescent="0.4">
      <c r="B183" t="s">
        <v>488</v>
      </c>
      <c r="C183" s="10" t="s">
        <v>746</v>
      </c>
      <c r="D183" s="8" t="s">
        <v>570</v>
      </c>
      <c r="J183" t="s">
        <v>21</v>
      </c>
      <c r="X183">
        <v>4</v>
      </c>
      <c r="Y183" t="s">
        <v>787</v>
      </c>
    </row>
    <row r="184" spans="2:25" x14ac:dyDescent="0.4">
      <c r="B184" t="s">
        <v>488</v>
      </c>
      <c r="C184" s="10" t="s">
        <v>747</v>
      </c>
      <c r="D184" s="8" t="s">
        <v>572</v>
      </c>
      <c r="J184" t="s">
        <v>35</v>
      </c>
      <c r="X184">
        <v>4</v>
      </c>
      <c r="Y184" t="s">
        <v>794</v>
      </c>
    </row>
    <row r="185" spans="2:25" x14ac:dyDescent="0.4">
      <c r="B185" t="s">
        <v>488</v>
      </c>
      <c r="C185" s="10" t="s">
        <v>748</v>
      </c>
      <c r="D185" s="8" t="s">
        <v>574</v>
      </c>
      <c r="J185" t="s">
        <v>60</v>
      </c>
      <c r="X185">
        <v>4</v>
      </c>
      <c r="Y185" t="s">
        <v>793</v>
      </c>
    </row>
    <row r="186" spans="2:25" x14ac:dyDescent="0.4">
      <c r="B186" t="s">
        <v>488</v>
      </c>
      <c r="C186" s="10" t="s">
        <v>749</v>
      </c>
      <c r="D186" s="8" t="s">
        <v>576</v>
      </c>
      <c r="J186" t="s">
        <v>35</v>
      </c>
      <c r="X186">
        <v>4</v>
      </c>
      <c r="Y186" t="s">
        <v>792</v>
      </c>
    </row>
    <row r="187" spans="2:25" x14ac:dyDescent="0.4">
      <c r="B187" t="s">
        <v>488</v>
      </c>
      <c r="C187" s="10" t="s">
        <v>750</v>
      </c>
      <c r="D187" s="8" t="s">
        <v>578</v>
      </c>
      <c r="J187" t="s">
        <v>35</v>
      </c>
      <c r="X187">
        <v>4</v>
      </c>
      <c r="Y187" t="s">
        <v>690</v>
      </c>
    </row>
    <row r="188" spans="2:25" x14ac:dyDescent="0.4">
      <c r="B188" t="s">
        <v>488</v>
      </c>
      <c r="C188" s="10" t="s">
        <v>751</v>
      </c>
      <c r="D188" s="8" t="s">
        <v>580</v>
      </c>
      <c r="J188" t="s">
        <v>47</v>
      </c>
      <c r="X188">
        <v>4</v>
      </c>
      <c r="Y188" t="s">
        <v>786</v>
      </c>
    </row>
    <row r="189" spans="2:25" x14ac:dyDescent="0.4">
      <c r="B189" t="s">
        <v>488</v>
      </c>
      <c r="C189" s="10" t="s">
        <v>752</v>
      </c>
      <c r="D189" s="8" t="s">
        <v>582</v>
      </c>
      <c r="J189" t="s">
        <v>35</v>
      </c>
      <c r="X189">
        <v>4</v>
      </c>
      <c r="Y189" t="s">
        <v>785</v>
      </c>
    </row>
    <row r="190" spans="2:25" x14ac:dyDescent="0.4">
      <c r="B190" t="s">
        <v>488</v>
      </c>
      <c r="C190" s="10" t="s">
        <v>753</v>
      </c>
      <c r="D190" s="8" t="s">
        <v>584</v>
      </c>
      <c r="J190" t="s">
        <v>47</v>
      </c>
      <c r="X190">
        <v>4</v>
      </c>
      <c r="Y190" t="s">
        <v>691</v>
      </c>
    </row>
    <row r="191" spans="2:25" x14ac:dyDescent="0.4">
      <c r="B191" t="s">
        <v>488</v>
      </c>
      <c r="C191" s="10" t="s">
        <v>754</v>
      </c>
      <c r="D191" s="8" t="s">
        <v>586</v>
      </c>
      <c r="J191" t="s">
        <v>47</v>
      </c>
      <c r="X191">
        <v>4</v>
      </c>
      <c r="Y191" t="s">
        <v>780</v>
      </c>
    </row>
    <row r="192" spans="2:25" x14ac:dyDescent="0.4">
      <c r="B192" t="s">
        <v>488</v>
      </c>
      <c r="C192" s="10" t="s">
        <v>755</v>
      </c>
      <c r="D192" s="8" t="s">
        <v>588</v>
      </c>
      <c r="J192" t="s">
        <v>35</v>
      </c>
      <c r="X192">
        <v>4</v>
      </c>
      <c r="Y192" t="s">
        <v>781</v>
      </c>
    </row>
    <row r="193" spans="2:25" x14ac:dyDescent="0.4">
      <c r="B193" t="s">
        <v>488</v>
      </c>
      <c r="C193" s="10" t="s">
        <v>756</v>
      </c>
      <c r="D193" s="8" t="s">
        <v>590</v>
      </c>
      <c r="J193" t="s">
        <v>47</v>
      </c>
      <c r="X193">
        <v>4</v>
      </c>
      <c r="Y193" t="s">
        <v>692</v>
      </c>
    </row>
    <row r="194" spans="2:25" x14ac:dyDescent="0.4">
      <c r="B194" t="s">
        <v>488</v>
      </c>
      <c r="C194" s="10" t="s">
        <v>757</v>
      </c>
      <c r="D194" s="8" t="s">
        <v>593</v>
      </c>
      <c r="J194" t="s">
        <v>35</v>
      </c>
      <c r="X194">
        <v>4</v>
      </c>
      <c r="Y194" t="s">
        <v>693</v>
      </c>
    </row>
    <row r="195" spans="2:25" x14ac:dyDescent="0.4">
      <c r="B195" t="s">
        <v>488</v>
      </c>
      <c r="C195" s="10" t="s">
        <v>758</v>
      </c>
      <c r="D195" s="8" t="s">
        <v>594</v>
      </c>
      <c r="J195" t="s">
        <v>60</v>
      </c>
      <c r="X195">
        <v>4</v>
      </c>
      <c r="Y195" t="s">
        <v>784</v>
      </c>
    </row>
    <row r="196" spans="2:25" x14ac:dyDescent="0.4">
      <c r="B196" t="s">
        <v>488</v>
      </c>
      <c r="C196" s="10" t="s">
        <v>759</v>
      </c>
      <c r="D196" s="8" t="s">
        <v>596</v>
      </c>
      <c r="J196" t="s">
        <v>37</v>
      </c>
      <c r="X196">
        <v>4</v>
      </c>
      <c r="Y196" t="s">
        <v>694</v>
      </c>
    </row>
    <row r="197" spans="2:25" x14ac:dyDescent="0.4">
      <c r="B197" t="s">
        <v>488</v>
      </c>
      <c r="C197" s="10" t="s">
        <v>760</v>
      </c>
      <c r="D197" s="8" t="s">
        <v>598</v>
      </c>
      <c r="J197" t="s">
        <v>47</v>
      </c>
      <c r="X197">
        <v>4</v>
      </c>
      <c r="Y197" t="s">
        <v>695</v>
      </c>
    </row>
    <row r="198" spans="2:25" x14ac:dyDescent="0.4">
      <c r="B198" t="s">
        <v>488</v>
      </c>
      <c r="C198" s="10" t="s">
        <v>761</v>
      </c>
      <c r="D198" s="8" t="s">
        <v>601</v>
      </c>
      <c r="J198" t="s">
        <v>35</v>
      </c>
      <c r="X198">
        <v>4</v>
      </c>
      <c r="Y198" t="s">
        <v>808</v>
      </c>
    </row>
    <row r="199" spans="2:25" x14ac:dyDescent="0.4">
      <c r="B199" t="s">
        <v>488</v>
      </c>
      <c r="C199" s="10" t="s">
        <v>762</v>
      </c>
      <c r="D199" s="8" t="s">
        <v>602</v>
      </c>
      <c r="J199" t="s">
        <v>20</v>
      </c>
      <c r="X199">
        <v>4</v>
      </c>
      <c r="Y199" t="s">
        <v>789</v>
      </c>
    </row>
    <row r="200" spans="2:25" x14ac:dyDescent="0.4">
      <c r="B200" t="s">
        <v>488</v>
      </c>
      <c r="C200" s="10" t="s">
        <v>763</v>
      </c>
      <c r="D200" s="8" t="s">
        <v>605</v>
      </c>
      <c r="J200" t="s">
        <v>35</v>
      </c>
      <c r="X200">
        <v>4</v>
      </c>
      <c r="Y200" t="s">
        <v>790</v>
      </c>
    </row>
    <row r="201" spans="2:25" x14ac:dyDescent="0.4">
      <c r="B201" t="s">
        <v>488</v>
      </c>
      <c r="C201" s="10" t="s">
        <v>764</v>
      </c>
      <c r="D201" s="8" t="s">
        <v>606</v>
      </c>
      <c r="J201" t="s">
        <v>20</v>
      </c>
      <c r="X201">
        <v>4</v>
      </c>
      <c r="Y201" t="s">
        <v>791</v>
      </c>
    </row>
    <row r="202" spans="2:25" x14ac:dyDescent="0.4">
      <c r="B202" t="s">
        <v>488</v>
      </c>
      <c r="C202" s="10" t="s">
        <v>765</v>
      </c>
      <c r="D202" s="8" t="s">
        <v>609</v>
      </c>
      <c r="J202" t="s">
        <v>35</v>
      </c>
      <c r="X202">
        <v>4</v>
      </c>
      <c r="Y202" t="s">
        <v>696</v>
      </c>
    </row>
    <row r="203" spans="2:25" x14ac:dyDescent="0.4">
      <c r="B203" t="s">
        <v>488</v>
      </c>
      <c r="C203" s="10" t="s">
        <v>766</v>
      </c>
      <c r="D203" s="8" t="s">
        <v>610</v>
      </c>
      <c r="J203" t="s">
        <v>47</v>
      </c>
      <c r="X203">
        <v>4</v>
      </c>
      <c r="Y203" t="s">
        <v>697</v>
      </c>
    </row>
    <row r="204" spans="2:25" x14ac:dyDescent="0.4">
      <c r="B204" t="s">
        <v>488</v>
      </c>
      <c r="C204" s="10" t="s">
        <v>767</v>
      </c>
      <c r="D204" s="8" t="s">
        <v>612</v>
      </c>
      <c r="J204" t="s">
        <v>37</v>
      </c>
      <c r="X204">
        <v>4</v>
      </c>
      <c r="Y204" t="s">
        <v>788</v>
      </c>
    </row>
    <row r="205" spans="2:25" x14ac:dyDescent="0.4">
      <c r="B205" t="s">
        <v>488</v>
      </c>
      <c r="C205" s="10" t="s">
        <v>768</v>
      </c>
      <c r="D205" s="8" t="s">
        <v>614</v>
      </c>
      <c r="J205" t="s">
        <v>47</v>
      </c>
      <c r="X205">
        <v>4</v>
      </c>
      <c r="Y205" t="s">
        <v>783</v>
      </c>
    </row>
    <row r="206" spans="2:25" x14ac:dyDescent="0.4">
      <c r="B206" t="s">
        <v>488</v>
      </c>
      <c r="C206" s="10" t="s">
        <v>769</v>
      </c>
      <c r="D206" s="8" t="s">
        <v>616</v>
      </c>
      <c r="J206" t="s">
        <v>37</v>
      </c>
      <c r="X206">
        <v>4</v>
      </c>
      <c r="Y206" t="s">
        <v>698</v>
      </c>
    </row>
    <row r="207" spans="2:25" x14ac:dyDescent="0.4">
      <c r="B207" t="s">
        <v>488</v>
      </c>
      <c r="C207" s="10" t="s">
        <v>770</v>
      </c>
      <c r="D207" s="8" t="s">
        <v>618</v>
      </c>
      <c r="J207" t="s">
        <v>20</v>
      </c>
      <c r="X207">
        <v>4</v>
      </c>
      <c r="Y207" t="s">
        <v>782</v>
      </c>
    </row>
    <row r="208" spans="2:25" x14ac:dyDescent="0.4">
      <c r="B208" t="s">
        <v>488</v>
      </c>
      <c r="C208" s="10" t="s">
        <v>771</v>
      </c>
      <c r="D208" s="8" t="s">
        <v>620</v>
      </c>
      <c r="J208" t="s">
        <v>47</v>
      </c>
      <c r="X208">
        <v>4</v>
      </c>
      <c r="Y208" t="s">
        <v>699</v>
      </c>
    </row>
    <row r="209" spans="2:25" x14ac:dyDescent="0.4">
      <c r="B209" t="s">
        <v>488</v>
      </c>
      <c r="C209" s="10" t="s">
        <v>772</v>
      </c>
      <c r="D209" s="8" t="s">
        <v>622</v>
      </c>
      <c r="J209" t="s">
        <v>35</v>
      </c>
      <c r="X209">
        <v>4</v>
      </c>
      <c r="Y209" t="s">
        <v>700</v>
      </c>
    </row>
    <row r="210" spans="2:25" x14ac:dyDescent="0.4">
      <c r="B210" t="s">
        <v>488</v>
      </c>
      <c r="C210" s="10" t="s">
        <v>773</v>
      </c>
      <c r="D210" s="8" t="s">
        <v>624</v>
      </c>
      <c r="J210" t="s">
        <v>20</v>
      </c>
      <c r="X210">
        <v>4</v>
      </c>
      <c r="Y210" t="s">
        <v>701</v>
      </c>
    </row>
    <row r="211" spans="2:25" x14ac:dyDescent="0.4">
      <c r="B211" t="s">
        <v>488</v>
      </c>
      <c r="C211" s="10" t="s">
        <v>774</v>
      </c>
      <c r="D211" s="8" t="s">
        <v>626</v>
      </c>
      <c r="J211" t="s">
        <v>35</v>
      </c>
      <c r="X211">
        <v>4</v>
      </c>
      <c r="Y211" t="s">
        <v>702</v>
      </c>
    </row>
    <row r="212" spans="2:25" x14ac:dyDescent="0.4">
      <c r="B212" t="s">
        <v>488</v>
      </c>
      <c r="C212" s="10" t="s">
        <v>775</v>
      </c>
      <c r="D212" s="8" t="s">
        <v>628</v>
      </c>
      <c r="J212" t="s">
        <v>60</v>
      </c>
      <c r="X212">
        <v>4</v>
      </c>
      <c r="Y212" t="s">
        <v>703</v>
      </c>
    </row>
    <row r="213" spans="2:25" x14ac:dyDescent="0.4">
      <c r="B213" t="s">
        <v>488</v>
      </c>
      <c r="C213" s="10" t="s">
        <v>776</v>
      </c>
      <c r="D213" s="8" t="s">
        <v>630</v>
      </c>
      <c r="J213" t="s">
        <v>47</v>
      </c>
      <c r="X213">
        <v>4</v>
      </c>
      <c r="Y213" t="s">
        <v>704</v>
      </c>
    </row>
    <row r="214" spans="2:25" x14ac:dyDescent="0.4">
      <c r="B214" t="s">
        <v>488</v>
      </c>
      <c r="C214" s="10" t="s">
        <v>777</v>
      </c>
      <c r="D214" s="8" t="s">
        <v>632</v>
      </c>
      <c r="J214" t="s">
        <v>20</v>
      </c>
      <c r="X214">
        <v>4</v>
      </c>
      <c r="Y214" t="s">
        <v>705</v>
      </c>
    </row>
  </sheetData>
  <hyperlinks>
    <hyperlink ref="D2" r:id="rId1" xr:uid="{E8536160-74C0-43AA-9E0F-D90E694A8CD1}"/>
    <hyperlink ref="D3" r:id="rId2" xr:uid="{2B42F200-0354-4DDC-A2FD-FEB81384A52D}"/>
    <hyperlink ref="D4" r:id="rId3" xr:uid="{089C9D98-AEEA-439F-83AC-D06C9E295908}"/>
    <hyperlink ref="D6" r:id="rId4" xr:uid="{8E0C202D-39ED-47E8-8BB1-3C049955A478}"/>
    <hyperlink ref="D7" r:id="rId5" xr:uid="{3A5BCAFF-5AB1-443A-97F4-9EAB732DD969}"/>
    <hyperlink ref="D8" r:id="rId6" xr:uid="{4ADD8200-4129-42A7-99E2-08B3F2668D26}"/>
    <hyperlink ref="D9" r:id="rId7" xr:uid="{FD85239D-A814-4BA6-978D-67930981A9FF}"/>
    <hyperlink ref="D10" r:id="rId8" xr:uid="{B99A15C0-5D49-4564-91D0-1BD5C0887EA8}"/>
    <hyperlink ref="D11" r:id="rId9" xr:uid="{6B8254DF-9B36-4240-82BD-0174E06CDBBA}"/>
    <hyperlink ref="D12" r:id="rId10" xr:uid="{DFD57BA1-D611-4F48-9ED0-FF04FA7C1110}"/>
    <hyperlink ref="D14" r:id="rId11" xr:uid="{21C7B70F-6FA3-476B-B029-3A6AE603FF6E}"/>
    <hyperlink ref="D15" r:id="rId12" xr:uid="{B062B00E-3C68-4F44-929C-48544175F13F}"/>
    <hyperlink ref="D16" r:id="rId13" xr:uid="{D8790263-F855-4ADF-A47B-475C205BF3DA}"/>
    <hyperlink ref="D17" r:id="rId14" xr:uid="{5124F5E6-55F9-4803-91E3-34CFF46C884E}"/>
    <hyperlink ref="D18" r:id="rId15" xr:uid="{1A8F667D-9823-42E5-9C97-33DEC2383B5D}"/>
    <hyperlink ref="D19" r:id="rId16" xr:uid="{4082A110-6250-4234-A57F-03234E82143A}"/>
    <hyperlink ref="D20" r:id="rId17" xr:uid="{C765D26A-6B94-4D2F-BD79-F3C7D80BEA74}"/>
    <hyperlink ref="D21" r:id="rId18" xr:uid="{06A40A0D-9CA1-4480-9FD6-5FE031691CA8}"/>
    <hyperlink ref="D22" r:id="rId19" xr:uid="{81C2DC89-E17E-4555-AA4A-FD0077A7CFBD}"/>
    <hyperlink ref="D23" r:id="rId20" xr:uid="{A679F7FF-ABFB-4AD6-A249-2D5FA415031B}"/>
    <hyperlink ref="D24" r:id="rId21" xr:uid="{68943009-0848-443F-BC8B-433861FCD66E}"/>
    <hyperlink ref="D25" r:id="rId22" xr:uid="{5C6A18F3-848B-45A6-9686-0737C9C9D715}"/>
    <hyperlink ref="D26" r:id="rId23" xr:uid="{76A72D77-F8AD-416C-8B47-6EE849C5AF8F}"/>
    <hyperlink ref="D27" r:id="rId24" xr:uid="{CB27EEE8-7833-44FA-9B42-6D7E0E8C932F}"/>
    <hyperlink ref="D28" r:id="rId25" xr:uid="{2FD9569C-15D5-4E0C-9243-9606EF9D5643}"/>
    <hyperlink ref="D29" r:id="rId26" xr:uid="{449E3342-7864-40F5-8A68-3C50642047B4}"/>
    <hyperlink ref="D30" r:id="rId27" xr:uid="{81CA9412-E60E-4932-854F-F3FAB25A8C18}"/>
    <hyperlink ref="D31" r:id="rId28" xr:uid="{96C1AF1A-34F1-4FA7-A72E-6D8CEAFED4CF}"/>
    <hyperlink ref="D32" r:id="rId29" xr:uid="{840B0478-4206-459C-8557-01A3867BE5EA}"/>
    <hyperlink ref="D34" r:id="rId30" xr:uid="{BBF3578D-69BF-45EB-BC2D-066E24F8C243}"/>
    <hyperlink ref="D37" r:id="rId31" xr:uid="{5B517D9C-1A95-44BE-897E-41D718F32EE4}"/>
    <hyperlink ref="D41" r:id="rId32" xr:uid="{63A2257A-57D5-4B4B-9BCA-060243A025D8}"/>
    <hyperlink ref="D42" r:id="rId33" xr:uid="{CA79FDAB-E53A-4372-8620-7F17138ACF44}"/>
    <hyperlink ref="D43" r:id="rId34" xr:uid="{9871BC96-BB18-4DF8-AD57-6B5F4C3E4A58}"/>
    <hyperlink ref="D46" r:id="rId35" xr:uid="{9E5822F3-B9D4-48C6-8459-A486E719EBB8}"/>
    <hyperlink ref="D49" r:id="rId36" xr:uid="{F28F5D4D-9122-4911-B6E7-C30C2DB9986F}"/>
    <hyperlink ref="D50" r:id="rId37" xr:uid="{AE2CD36D-90DD-4CC6-A231-6ACD95F8E01E}"/>
    <hyperlink ref="D52" r:id="rId38" xr:uid="{932CE544-87F5-4853-A033-A0C704619B5D}"/>
    <hyperlink ref="D53" r:id="rId39" xr:uid="{C45B23F7-D71F-4B78-A9A5-DC6EC585076C}"/>
    <hyperlink ref="D54" r:id="rId40" xr:uid="{786D4241-5ACD-42B3-81D3-F051B3ED0652}"/>
    <hyperlink ref="D56" r:id="rId41" xr:uid="{E1CEC336-AB63-4876-BF07-33626E486F09}"/>
    <hyperlink ref="D57" r:id="rId42" xr:uid="{3B37E9DE-0307-4DCD-8192-4C0FD03CCEF3}"/>
    <hyperlink ref="D58" r:id="rId43" xr:uid="{BE601833-1B20-4622-B005-3B13FAE8F5EF}"/>
    <hyperlink ref="D59" r:id="rId44" xr:uid="{09565601-841A-4E5F-AD79-4AAD3F5F4A7B}"/>
    <hyperlink ref="D60" r:id="rId45" xr:uid="{6C35A1DB-B410-4E62-8DB9-A7DA7CD3E077}"/>
    <hyperlink ref="D61" r:id="rId46" xr:uid="{AB587E97-3B79-4EE6-9272-CB79B7C8916A}"/>
    <hyperlink ref="D62" r:id="rId47" xr:uid="{E7AE2833-23E6-4425-8A3F-5CACF3D15C82}"/>
    <hyperlink ref="D63" r:id="rId48" xr:uid="{14AA623A-D6AA-409E-91E0-850A179D1E3E}"/>
    <hyperlink ref="D64" r:id="rId49" xr:uid="{27B94D71-47AB-4C07-8DA6-BD8DF6DAF24A}"/>
    <hyperlink ref="D65" r:id="rId50" xr:uid="{9431EFA7-57BE-4BCD-8FD8-7D1E20DEC160}"/>
    <hyperlink ref="D66" r:id="rId51" xr:uid="{36CFB962-0306-4959-86DC-C465B83D1EC0}"/>
    <hyperlink ref="D67" r:id="rId52" xr:uid="{90B13494-77D1-4A71-905B-876963314214}"/>
    <hyperlink ref="D68" r:id="rId53" xr:uid="{EFF026F5-EFEF-41C1-AEAA-A9A54187CA7E}"/>
    <hyperlink ref="D69" r:id="rId54" xr:uid="{22854B5C-3942-4479-9002-17A31DB2E448}"/>
    <hyperlink ref="D70" r:id="rId55" xr:uid="{4CCC1315-E11F-4F97-BAE2-CA20D2B169E4}"/>
    <hyperlink ref="D71" r:id="rId56" xr:uid="{E7054C96-394B-4743-8EBB-55E7AD6EB0B6}"/>
    <hyperlink ref="D72" r:id="rId57" xr:uid="{99357DC2-17B7-4E1F-9C05-7858BA1686D2}"/>
    <hyperlink ref="D73" r:id="rId58" xr:uid="{DB934FCD-8CFB-423E-AB94-A77DC66AC008}"/>
    <hyperlink ref="D74" r:id="rId59" xr:uid="{08D07911-9808-4D12-9AD3-DF617B270FBE}"/>
    <hyperlink ref="D76" r:id="rId60" xr:uid="{0C1D0827-B8AE-4880-A572-CE1F410CABBD}"/>
    <hyperlink ref="D5" r:id="rId61" xr:uid="{10A2AA1D-6ECD-441C-8D1C-9F4FFEA92B6F}"/>
    <hyperlink ref="D38" r:id="rId62" xr:uid="{9FEE4C9C-E431-4A10-B01B-CD0732AF88B5}"/>
    <hyperlink ref="D39" r:id="rId63" xr:uid="{6484BE44-D9B2-4120-A97E-09F445A74326}"/>
    <hyperlink ref="D40" r:id="rId64" xr:uid="{60C3978F-D32B-48C1-ACD1-3F80BD43FA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98FFEB-7144-4539-9342-1E5DF7D326D8}">
          <x14:formula1>
            <xm:f>Hoja2!$A$1:$A$14</xm:f>
          </x14:formula1>
          <xm:sqref>J2:J1048576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32208-31E7-4CC2-B41C-9141F6FABB69}">
  <dimension ref="A1:AB185"/>
  <sheetViews>
    <sheetView zoomScaleNormal="100" workbookViewId="0">
      <pane ySplit="1" topLeftCell="A96" activePane="bottomLeft" state="frozen"/>
      <selection pane="bottomLeft" activeCell="A109" sqref="A109:XFD109"/>
    </sheetView>
  </sheetViews>
  <sheetFormatPr baseColWidth="10" defaultColWidth="0" defaultRowHeight="14.6" x14ac:dyDescent="0.4"/>
  <cols>
    <col min="1" max="1" width="12" style="12" bestFit="1" customWidth="1"/>
    <col min="2" max="2" width="11.3828125" customWidth="1"/>
    <col min="3" max="3" width="8.53515625" bestFit="1" customWidth="1"/>
    <col min="4" max="4" width="10.23046875" style="8" customWidth="1"/>
    <col min="5" max="9" width="6.07421875" customWidth="1"/>
    <col min="10" max="10" width="12.07421875" customWidth="1"/>
    <col min="11" max="17" width="9.4609375" customWidth="1"/>
    <col min="18" max="21" width="4.3046875" customWidth="1"/>
    <col min="22" max="22" width="8.53515625" customWidth="1"/>
    <col min="23" max="24" width="10.23046875" customWidth="1"/>
    <col min="25" max="25" width="44.23046875" bestFit="1" customWidth="1"/>
    <col min="26" max="26" width="6.4609375" customWidth="1"/>
    <col min="27" max="28" width="0" hidden="1" customWidth="1"/>
    <col min="29" max="16384" width="11.07421875" hidden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45818.952777777777</v>
      </c>
      <c r="B2" s="10">
        <v>0.95277777777777772</v>
      </c>
      <c r="C2" s="10" t="s">
        <v>162</v>
      </c>
      <c r="D2" s="7" t="s">
        <v>17</v>
      </c>
      <c r="J2" s="20" t="s">
        <v>20</v>
      </c>
      <c r="K2">
        <v>1485</v>
      </c>
      <c r="L2">
        <v>749</v>
      </c>
      <c r="M2">
        <v>1050</v>
      </c>
      <c r="N2">
        <v>1690</v>
      </c>
      <c r="O2">
        <v>1490</v>
      </c>
      <c r="P2">
        <v>1790</v>
      </c>
      <c r="Q2">
        <v>9350</v>
      </c>
      <c r="V2" t="s">
        <v>25</v>
      </c>
      <c r="W2" t="s">
        <v>25</v>
      </c>
      <c r="X2">
        <v>1</v>
      </c>
      <c r="Y2" t="s">
        <v>100</v>
      </c>
    </row>
    <row r="3" spans="1:26" x14ac:dyDescent="0.4">
      <c r="A3" s="12">
        <v>45818.954861111109</v>
      </c>
      <c r="B3" s="10">
        <v>0.95486111111111116</v>
      </c>
      <c r="C3" s="10" t="s">
        <v>163</v>
      </c>
      <c r="D3" s="7" t="s">
        <v>19</v>
      </c>
      <c r="J3" s="20" t="s">
        <v>21</v>
      </c>
      <c r="Q3">
        <v>5450</v>
      </c>
      <c r="V3" t="s">
        <v>25</v>
      </c>
      <c r="W3" t="s">
        <v>25</v>
      </c>
      <c r="X3">
        <v>1</v>
      </c>
      <c r="Y3" t="s">
        <v>101</v>
      </c>
    </row>
    <row r="4" spans="1:26" x14ac:dyDescent="0.4">
      <c r="A4" s="12">
        <v>45818.956250000003</v>
      </c>
      <c r="B4" s="10">
        <v>0.95625000000000004</v>
      </c>
      <c r="C4" s="10" t="s">
        <v>164</v>
      </c>
      <c r="D4" s="7" t="s">
        <v>22</v>
      </c>
      <c r="J4" s="20" t="s">
        <v>47</v>
      </c>
      <c r="N4">
        <v>1800</v>
      </c>
      <c r="O4">
        <v>750</v>
      </c>
      <c r="P4">
        <v>1500</v>
      </c>
      <c r="V4" t="s">
        <v>26</v>
      </c>
      <c r="W4" t="s">
        <v>25</v>
      </c>
      <c r="X4">
        <v>1</v>
      </c>
      <c r="Y4" t="s">
        <v>116</v>
      </c>
    </row>
    <row r="5" spans="1:26" x14ac:dyDescent="0.4">
      <c r="A5" s="12">
        <v>45818.958333333336</v>
      </c>
      <c r="B5" s="10">
        <v>0.95833333333333337</v>
      </c>
      <c r="C5" s="10" t="s">
        <v>165</v>
      </c>
      <c r="D5" s="7" t="s">
        <v>23</v>
      </c>
      <c r="J5" s="20" t="s">
        <v>24</v>
      </c>
      <c r="K5">
        <v>1300</v>
      </c>
      <c r="L5">
        <v>800</v>
      </c>
      <c r="M5">
        <v>900</v>
      </c>
      <c r="N5">
        <v>1400</v>
      </c>
      <c r="P5">
        <v>1200</v>
      </c>
      <c r="V5" t="s">
        <v>26</v>
      </c>
      <c r="W5" t="s">
        <v>25</v>
      </c>
      <c r="X5">
        <v>1</v>
      </c>
      <c r="Y5" t="s">
        <v>117</v>
      </c>
    </row>
    <row r="6" spans="1:26" x14ac:dyDescent="0.4">
      <c r="A6" s="12">
        <v>45818.960416666669</v>
      </c>
      <c r="B6" s="10">
        <v>0.9604166666666667</v>
      </c>
      <c r="C6" s="10" t="s">
        <v>166</v>
      </c>
      <c r="D6" s="7" t="s">
        <v>27</v>
      </c>
      <c r="J6" s="20" t="s">
        <v>28</v>
      </c>
      <c r="P6">
        <v>1950</v>
      </c>
      <c r="V6" t="s">
        <v>25</v>
      </c>
      <c r="W6" t="s">
        <v>25</v>
      </c>
      <c r="X6">
        <v>1</v>
      </c>
      <c r="Y6" t="s">
        <v>118</v>
      </c>
    </row>
    <row r="7" spans="1:26" x14ac:dyDescent="0.4">
      <c r="A7" s="12">
        <v>45818.961111111108</v>
      </c>
      <c r="B7" s="10">
        <v>0.96111111111111114</v>
      </c>
      <c r="C7" s="10" t="s">
        <v>167</v>
      </c>
      <c r="D7" s="7" t="s">
        <v>29</v>
      </c>
      <c r="J7" s="20" t="s">
        <v>20</v>
      </c>
      <c r="K7">
        <v>1290</v>
      </c>
      <c r="L7">
        <v>749</v>
      </c>
      <c r="M7">
        <v>949</v>
      </c>
      <c r="N7">
        <v>1400</v>
      </c>
      <c r="O7">
        <v>1490</v>
      </c>
      <c r="P7">
        <v>1790</v>
      </c>
      <c r="Q7">
        <v>9350</v>
      </c>
      <c r="V7" t="s">
        <v>25</v>
      </c>
      <c r="W7" t="s">
        <v>25</v>
      </c>
      <c r="X7">
        <v>1</v>
      </c>
      <c r="Y7" t="s">
        <v>119</v>
      </c>
    </row>
    <row r="8" spans="1:26" x14ac:dyDescent="0.4">
      <c r="A8" s="12">
        <v>45818.96597222222</v>
      </c>
      <c r="B8" s="10">
        <v>0.96597222222222223</v>
      </c>
      <c r="C8" s="10" t="s">
        <v>168</v>
      </c>
      <c r="D8" s="7" t="s">
        <v>30</v>
      </c>
      <c r="J8" s="20" t="s">
        <v>21</v>
      </c>
      <c r="Q8">
        <v>5450</v>
      </c>
      <c r="V8" t="s">
        <v>25</v>
      </c>
      <c r="W8" t="s">
        <v>25</v>
      </c>
      <c r="X8">
        <v>1</v>
      </c>
      <c r="Y8" t="s">
        <v>120</v>
      </c>
    </row>
    <row r="9" spans="1:26" x14ac:dyDescent="0.4">
      <c r="A9" s="12">
        <v>45818.966666666667</v>
      </c>
      <c r="B9" s="10">
        <v>0.96666666666666667</v>
      </c>
      <c r="C9" s="10" t="s">
        <v>169</v>
      </c>
      <c r="D9" s="7" t="s">
        <v>31</v>
      </c>
      <c r="J9" s="20" t="s">
        <v>47</v>
      </c>
      <c r="K9">
        <v>2400</v>
      </c>
      <c r="L9">
        <v>1300</v>
      </c>
      <c r="M9">
        <v>1600</v>
      </c>
      <c r="N9">
        <v>2400</v>
      </c>
      <c r="P9">
        <v>1700</v>
      </c>
      <c r="V9" t="s">
        <v>26</v>
      </c>
      <c r="W9" t="s">
        <v>25</v>
      </c>
      <c r="X9">
        <v>1</v>
      </c>
      <c r="Y9" t="s">
        <v>121</v>
      </c>
    </row>
    <row r="10" spans="1:26" x14ac:dyDescent="0.4">
      <c r="A10" s="12">
        <v>45818.968055555553</v>
      </c>
      <c r="B10" s="10">
        <v>0.96805555555555556</v>
      </c>
      <c r="C10" s="10" t="s">
        <v>170</v>
      </c>
      <c r="D10" s="7" t="s">
        <v>32</v>
      </c>
      <c r="J10" s="20" t="s">
        <v>20</v>
      </c>
      <c r="K10">
        <v>1290</v>
      </c>
      <c r="L10">
        <v>749</v>
      </c>
      <c r="M10">
        <v>899</v>
      </c>
      <c r="N10">
        <v>1290</v>
      </c>
      <c r="O10">
        <v>1490</v>
      </c>
      <c r="P10">
        <v>1785</v>
      </c>
      <c r="Q10">
        <v>9350</v>
      </c>
      <c r="V10" t="s">
        <v>25</v>
      </c>
      <c r="W10" t="s">
        <v>25</v>
      </c>
      <c r="X10">
        <v>1</v>
      </c>
      <c r="Y10" t="s">
        <v>122</v>
      </c>
    </row>
    <row r="11" spans="1:26" x14ac:dyDescent="0.4">
      <c r="A11" s="12">
        <v>45818.974305555559</v>
      </c>
      <c r="B11" s="10">
        <v>0.97430555555555554</v>
      </c>
      <c r="C11" s="10" t="s">
        <v>171</v>
      </c>
      <c r="D11" s="7" t="s">
        <v>33</v>
      </c>
      <c r="J11" s="20" t="s">
        <v>24</v>
      </c>
      <c r="K11">
        <v>1800</v>
      </c>
      <c r="L11">
        <v>1500</v>
      </c>
      <c r="M11">
        <v>1300</v>
      </c>
      <c r="N11">
        <v>1000</v>
      </c>
      <c r="P11">
        <v>1000</v>
      </c>
      <c r="V11" t="s">
        <v>26</v>
      </c>
      <c r="W11" t="s">
        <v>25</v>
      </c>
      <c r="X11">
        <v>1</v>
      </c>
      <c r="Y11" t="s">
        <v>123</v>
      </c>
    </row>
    <row r="12" spans="1:26" x14ac:dyDescent="0.4">
      <c r="A12" s="12">
        <v>45818.976388888892</v>
      </c>
      <c r="B12" s="10">
        <v>0.97638888888888886</v>
      </c>
      <c r="C12" s="10" t="s">
        <v>172</v>
      </c>
      <c r="D12" s="7" t="s">
        <v>34</v>
      </c>
      <c r="J12" s="20" t="s">
        <v>35</v>
      </c>
      <c r="O12">
        <v>1000</v>
      </c>
      <c r="V12" t="s">
        <v>26</v>
      </c>
      <c r="W12" t="s">
        <v>25</v>
      </c>
      <c r="X12">
        <v>1</v>
      </c>
      <c r="Y12" t="s">
        <v>124</v>
      </c>
    </row>
    <row r="13" spans="1:26" x14ac:dyDescent="0.4">
      <c r="A13" s="12">
        <v>45818.977777777778</v>
      </c>
      <c r="B13" s="10">
        <v>0.97777777777777775</v>
      </c>
      <c r="C13" s="10" t="s">
        <v>173</v>
      </c>
      <c r="D13" s="7" t="s">
        <v>390</v>
      </c>
      <c r="J13" s="20" t="s">
        <v>47</v>
      </c>
      <c r="L13">
        <v>1800</v>
      </c>
      <c r="M13">
        <v>2000</v>
      </c>
      <c r="P13">
        <v>1300</v>
      </c>
      <c r="V13" t="s">
        <v>26</v>
      </c>
      <c r="W13" t="s">
        <v>25</v>
      </c>
      <c r="X13">
        <v>1</v>
      </c>
      <c r="Y13" t="s">
        <v>389</v>
      </c>
    </row>
    <row r="14" spans="1:26" x14ac:dyDescent="0.4">
      <c r="A14" s="12">
        <v>45818.978472222225</v>
      </c>
      <c r="B14" s="10">
        <v>0.97847222222222219</v>
      </c>
      <c r="C14" s="10" t="s">
        <v>174</v>
      </c>
      <c r="D14" s="7" t="s">
        <v>36</v>
      </c>
      <c r="J14" s="20" t="s">
        <v>37</v>
      </c>
      <c r="K14">
        <v>1740</v>
      </c>
      <c r="L14">
        <v>790</v>
      </c>
      <c r="M14">
        <v>990</v>
      </c>
      <c r="N14">
        <v>1190</v>
      </c>
      <c r="O14">
        <v>590</v>
      </c>
      <c r="P14" s="9">
        <v>2410</v>
      </c>
      <c r="Q14">
        <v>12800</v>
      </c>
      <c r="V14" t="s">
        <v>25</v>
      </c>
      <c r="W14" t="s">
        <v>25</v>
      </c>
      <c r="X14">
        <v>1</v>
      </c>
      <c r="Y14" t="s">
        <v>125</v>
      </c>
    </row>
    <row r="15" spans="1:26" x14ac:dyDescent="0.4">
      <c r="A15" s="12">
        <v>45818.981249999997</v>
      </c>
      <c r="B15" s="10">
        <v>0.98124999999999996</v>
      </c>
      <c r="C15" s="10" t="s">
        <v>175</v>
      </c>
      <c r="D15" s="7" t="s">
        <v>38</v>
      </c>
      <c r="J15" s="20" t="s">
        <v>47</v>
      </c>
      <c r="N15">
        <v>1800</v>
      </c>
      <c r="O15">
        <v>890</v>
      </c>
      <c r="Q15">
        <v>15600</v>
      </c>
      <c r="V15" t="s">
        <v>26</v>
      </c>
      <c r="W15" t="s">
        <v>25</v>
      </c>
      <c r="X15">
        <v>1</v>
      </c>
      <c r="Y15" t="s">
        <v>126</v>
      </c>
    </row>
    <row r="16" spans="1:26" x14ac:dyDescent="0.4">
      <c r="A16" s="12">
        <v>45818.982638888891</v>
      </c>
      <c r="B16" s="10">
        <v>0.98263888888888884</v>
      </c>
      <c r="C16" s="10" t="s">
        <v>176</v>
      </c>
      <c r="D16" s="7" t="s">
        <v>39</v>
      </c>
      <c r="J16" s="20" t="s">
        <v>20</v>
      </c>
      <c r="K16">
        <v>1290</v>
      </c>
      <c r="L16">
        <v>749</v>
      </c>
      <c r="M16">
        <v>899</v>
      </c>
      <c r="N16">
        <v>1290</v>
      </c>
      <c r="O16">
        <v>1490</v>
      </c>
      <c r="P16">
        <v>1785</v>
      </c>
      <c r="Q16">
        <v>9350</v>
      </c>
      <c r="V16" t="s">
        <v>25</v>
      </c>
      <c r="W16" t="s">
        <v>25</v>
      </c>
      <c r="X16">
        <v>1</v>
      </c>
      <c r="Y16" t="s">
        <v>127</v>
      </c>
    </row>
    <row r="17" spans="1:25" x14ac:dyDescent="0.4">
      <c r="A17" s="12">
        <v>45818.986111111109</v>
      </c>
      <c r="B17" s="10">
        <v>0.98611111111111116</v>
      </c>
      <c r="C17" s="10" t="s">
        <v>177</v>
      </c>
      <c r="D17" s="7" t="s">
        <v>40</v>
      </c>
      <c r="J17" s="20" t="s">
        <v>47</v>
      </c>
      <c r="K17">
        <v>1900</v>
      </c>
      <c r="L17">
        <v>1300</v>
      </c>
      <c r="M17">
        <v>1400</v>
      </c>
      <c r="N17">
        <v>2600</v>
      </c>
      <c r="P17">
        <v>1035</v>
      </c>
      <c r="V17" t="s">
        <v>26</v>
      </c>
      <c r="W17" t="s">
        <v>25</v>
      </c>
      <c r="X17">
        <v>1</v>
      </c>
      <c r="Y17" t="s">
        <v>128</v>
      </c>
    </row>
    <row r="18" spans="1:25" x14ac:dyDescent="0.4">
      <c r="A18" s="12">
        <v>45818.990277777775</v>
      </c>
      <c r="B18" s="10">
        <v>0.99027777777777781</v>
      </c>
      <c r="C18" s="10" t="s">
        <v>178</v>
      </c>
      <c r="D18" s="7" t="s">
        <v>41</v>
      </c>
      <c r="J18" s="20" t="s">
        <v>66</v>
      </c>
      <c r="N18">
        <v>2200</v>
      </c>
      <c r="O18">
        <v>900</v>
      </c>
      <c r="P18">
        <v>1742</v>
      </c>
      <c r="V18" t="s">
        <v>26</v>
      </c>
      <c r="W18" t="s">
        <v>25</v>
      </c>
      <c r="X18">
        <v>1</v>
      </c>
      <c r="Y18" t="s">
        <v>129</v>
      </c>
    </row>
    <row r="19" spans="1:25" x14ac:dyDescent="0.4">
      <c r="A19" s="12">
        <v>45818.990972222222</v>
      </c>
      <c r="B19" s="10">
        <v>0.99097222222222225</v>
      </c>
      <c r="C19" s="10" t="s">
        <v>179</v>
      </c>
      <c r="D19" s="7" t="s">
        <v>42</v>
      </c>
      <c r="J19" s="20" t="s">
        <v>20</v>
      </c>
      <c r="K19">
        <v>1290</v>
      </c>
      <c r="L19">
        <v>749</v>
      </c>
      <c r="M19">
        <v>899</v>
      </c>
      <c r="N19">
        <v>1290</v>
      </c>
      <c r="O19">
        <v>1490</v>
      </c>
      <c r="P19">
        <v>1785</v>
      </c>
      <c r="Q19">
        <v>9350</v>
      </c>
      <c r="V19" t="s">
        <v>25</v>
      </c>
      <c r="W19" t="s">
        <v>25</v>
      </c>
      <c r="X19">
        <v>1</v>
      </c>
      <c r="Y19" t="s">
        <v>130</v>
      </c>
    </row>
    <row r="20" spans="1:25" x14ac:dyDescent="0.4">
      <c r="A20" s="12">
        <v>45818.996527777781</v>
      </c>
      <c r="B20" s="10">
        <v>0.99652777777777779</v>
      </c>
      <c r="C20" s="10" t="s">
        <v>180</v>
      </c>
      <c r="D20" s="7" t="s">
        <v>43</v>
      </c>
      <c r="J20" s="20" t="s">
        <v>24</v>
      </c>
      <c r="K20">
        <v>1700</v>
      </c>
      <c r="L20">
        <v>900</v>
      </c>
      <c r="M20">
        <v>1300</v>
      </c>
      <c r="N20">
        <v>1200</v>
      </c>
      <c r="O20">
        <v>1000</v>
      </c>
      <c r="P20">
        <v>1600</v>
      </c>
      <c r="Q20">
        <v>8600</v>
      </c>
      <c r="V20" t="s">
        <v>26</v>
      </c>
      <c r="W20" t="s">
        <v>25</v>
      </c>
      <c r="X20">
        <v>1</v>
      </c>
      <c r="Y20" t="s">
        <v>131</v>
      </c>
    </row>
    <row r="21" spans="1:25" x14ac:dyDescent="0.4">
      <c r="A21" s="12">
        <v>45818.999305555553</v>
      </c>
      <c r="B21" s="10">
        <v>0.99930555555555556</v>
      </c>
      <c r="C21" s="10" t="s">
        <v>181</v>
      </c>
      <c r="D21" s="7" t="s">
        <v>44</v>
      </c>
      <c r="J21" s="20" t="s">
        <v>35</v>
      </c>
      <c r="O21">
        <v>1000</v>
      </c>
      <c r="V21" t="s">
        <v>26</v>
      </c>
      <c r="W21" t="s">
        <v>25</v>
      </c>
      <c r="X21">
        <v>1</v>
      </c>
      <c r="Y21" t="s">
        <v>132</v>
      </c>
    </row>
    <row r="22" spans="1:25" x14ac:dyDescent="0.4">
      <c r="A22" s="12">
        <v>45819</v>
      </c>
      <c r="B22" s="10">
        <v>0</v>
      </c>
      <c r="C22" s="10" t="s">
        <v>182</v>
      </c>
      <c r="D22" s="7" t="s">
        <v>45</v>
      </c>
      <c r="J22" s="20" t="s">
        <v>37</v>
      </c>
      <c r="K22">
        <v>1390</v>
      </c>
      <c r="L22">
        <v>790</v>
      </c>
      <c r="M22">
        <v>990</v>
      </c>
      <c r="N22">
        <v>1600</v>
      </c>
      <c r="O22">
        <v>890</v>
      </c>
      <c r="P22" s="9">
        <v>2145</v>
      </c>
      <c r="Q22">
        <v>15600</v>
      </c>
      <c r="V22" t="s">
        <v>25</v>
      </c>
      <c r="W22" t="s">
        <v>25</v>
      </c>
      <c r="X22">
        <v>1</v>
      </c>
      <c r="Y22" t="s">
        <v>238</v>
      </c>
    </row>
    <row r="23" spans="1:25" x14ac:dyDescent="0.4">
      <c r="A23" s="12">
        <v>45819.00277777778</v>
      </c>
      <c r="B23" s="10">
        <v>2.7777777777777779E-3</v>
      </c>
      <c r="C23" s="10" t="s">
        <v>183</v>
      </c>
      <c r="D23" s="7" t="s">
        <v>46</v>
      </c>
      <c r="J23" s="20" t="s">
        <v>47</v>
      </c>
      <c r="M23">
        <v>1500</v>
      </c>
      <c r="N23">
        <v>1800</v>
      </c>
      <c r="V23" t="s">
        <v>26</v>
      </c>
      <c r="W23" t="s">
        <v>25</v>
      </c>
      <c r="X23">
        <v>1</v>
      </c>
      <c r="Y23" t="s">
        <v>133</v>
      </c>
    </row>
    <row r="24" spans="1:25" x14ac:dyDescent="0.4">
      <c r="A24" s="12">
        <v>45819.003472222219</v>
      </c>
      <c r="B24" s="10">
        <v>3.472222222222222E-3</v>
      </c>
      <c r="C24" s="10" t="s">
        <v>184</v>
      </c>
      <c r="D24" s="7" t="s">
        <v>48</v>
      </c>
      <c r="J24" s="20" t="s">
        <v>35</v>
      </c>
      <c r="O24">
        <v>800</v>
      </c>
      <c r="V24" t="s">
        <v>26</v>
      </c>
      <c r="W24" t="s">
        <v>25</v>
      </c>
      <c r="X24">
        <v>1</v>
      </c>
      <c r="Y24" t="s">
        <v>134</v>
      </c>
    </row>
    <row r="25" spans="1:25" x14ac:dyDescent="0.4">
      <c r="A25" s="12">
        <v>45819.004861111112</v>
      </c>
      <c r="B25" s="10">
        <v>4.8611111111111112E-3</v>
      </c>
      <c r="C25" s="10" t="s">
        <v>185</v>
      </c>
      <c r="D25" s="7" t="s">
        <v>49</v>
      </c>
      <c r="J25" s="20" t="s">
        <v>47</v>
      </c>
      <c r="L25">
        <v>2500</v>
      </c>
      <c r="N25">
        <v>2000</v>
      </c>
      <c r="V25" t="s">
        <v>26</v>
      </c>
      <c r="W25" t="s">
        <v>25</v>
      </c>
      <c r="X25">
        <v>1</v>
      </c>
      <c r="Y25" t="s">
        <v>135</v>
      </c>
    </row>
    <row r="26" spans="1:25" x14ac:dyDescent="0.4">
      <c r="A26" s="12">
        <v>45819.005555555559</v>
      </c>
      <c r="B26" s="10">
        <v>5.5555555555555558E-3</v>
      </c>
      <c r="C26" s="10" t="s">
        <v>186</v>
      </c>
      <c r="D26" s="7" t="s">
        <v>50</v>
      </c>
      <c r="J26" s="20" t="s">
        <v>47</v>
      </c>
      <c r="M26">
        <v>1100</v>
      </c>
      <c r="N26">
        <v>1800</v>
      </c>
      <c r="O26">
        <v>700</v>
      </c>
      <c r="P26">
        <v>1200</v>
      </c>
      <c r="Q26">
        <v>14500</v>
      </c>
      <c r="V26" t="s">
        <v>26</v>
      </c>
      <c r="W26" t="s">
        <v>25</v>
      </c>
      <c r="X26">
        <v>1</v>
      </c>
      <c r="Y26" t="s">
        <v>136</v>
      </c>
    </row>
    <row r="27" spans="1:25" x14ac:dyDescent="0.4">
      <c r="A27" s="12">
        <v>45819.009027777778</v>
      </c>
      <c r="B27" s="10">
        <v>9.0277777777777769E-3</v>
      </c>
      <c r="C27" s="10" t="s">
        <v>187</v>
      </c>
      <c r="D27" s="7" t="s">
        <v>51</v>
      </c>
      <c r="J27" s="20" t="s">
        <v>24</v>
      </c>
      <c r="L27">
        <v>1500</v>
      </c>
      <c r="M27">
        <v>1700</v>
      </c>
      <c r="N27">
        <v>2000</v>
      </c>
      <c r="O27">
        <v>1200</v>
      </c>
      <c r="P27">
        <v>1500</v>
      </c>
      <c r="Q27">
        <v>900</v>
      </c>
      <c r="V27" t="s">
        <v>26</v>
      </c>
      <c r="W27" t="s">
        <v>25</v>
      </c>
      <c r="X27">
        <v>1</v>
      </c>
      <c r="Y27" t="s">
        <v>137</v>
      </c>
    </row>
    <row r="28" spans="1:25" x14ac:dyDescent="0.4">
      <c r="A28" s="12">
        <v>45820.73541666667</v>
      </c>
      <c r="B28" s="10">
        <v>0.73541666666666672</v>
      </c>
      <c r="C28" s="10" t="s">
        <v>188</v>
      </c>
      <c r="D28" s="7" t="s">
        <v>52</v>
      </c>
      <c r="J28" s="20" t="s">
        <v>24</v>
      </c>
      <c r="K28">
        <v>1600</v>
      </c>
      <c r="L28">
        <v>1000</v>
      </c>
      <c r="M28">
        <v>1500</v>
      </c>
      <c r="N28">
        <v>1800</v>
      </c>
      <c r="O28">
        <v>1000</v>
      </c>
      <c r="P28">
        <v>2300</v>
      </c>
      <c r="V28" t="s">
        <v>26</v>
      </c>
      <c r="W28" t="s">
        <v>25</v>
      </c>
      <c r="X28">
        <v>1</v>
      </c>
      <c r="Y28" t="s">
        <v>138</v>
      </c>
    </row>
    <row r="29" spans="1:25" x14ac:dyDescent="0.4">
      <c r="A29" s="12">
        <v>45820.745833333334</v>
      </c>
      <c r="B29" s="10">
        <v>0.74583333333333335</v>
      </c>
      <c r="C29" s="10" t="s">
        <v>189</v>
      </c>
      <c r="D29" s="7" t="s">
        <v>54</v>
      </c>
      <c r="J29" s="20" t="s">
        <v>24</v>
      </c>
      <c r="K29">
        <v>1400</v>
      </c>
      <c r="L29">
        <v>2000</v>
      </c>
      <c r="M29">
        <v>2000</v>
      </c>
      <c r="N29">
        <v>4000</v>
      </c>
      <c r="P29">
        <v>2136</v>
      </c>
      <c r="V29" t="s">
        <v>26</v>
      </c>
      <c r="W29" t="s">
        <v>25</v>
      </c>
      <c r="X29">
        <v>1</v>
      </c>
      <c r="Y29" t="s">
        <v>139</v>
      </c>
    </row>
    <row r="30" spans="1:25" x14ac:dyDescent="0.4">
      <c r="A30" s="12">
        <v>45820.750694444447</v>
      </c>
      <c r="B30" s="10">
        <v>0.75069444444444444</v>
      </c>
      <c r="C30" s="10" t="s">
        <v>190</v>
      </c>
      <c r="D30" s="7" t="s">
        <v>55</v>
      </c>
      <c r="J30" s="20" t="s">
        <v>35</v>
      </c>
      <c r="O30">
        <v>1333</v>
      </c>
      <c r="V30" t="s">
        <v>26</v>
      </c>
      <c r="W30" t="s">
        <v>25</v>
      </c>
      <c r="X30">
        <v>1</v>
      </c>
      <c r="Y30" t="s">
        <v>140</v>
      </c>
    </row>
    <row r="31" spans="1:25" x14ac:dyDescent="0.4">
      <c r="A31" s="12">
        <v>45820.751388888886</v>
      </c>
      <c r="B31" s="10">
        <v>0.75138888888888888</v>
      </c>
      <c r="C31" s="10" t="s">
        <v>191</v>
      </c>
      <c r="D31" s="7" t="s">
        <v>56</v>
      </c>
      <c r="J31" s="20" t="s">
        <v>20</v>
      </c>
      <c r="K31">
        <v>1290</v>
      </c>
      <c r="L31">
        <v>749</v>
      </c>
      <c r="M31">
        <v>949</v>
      </c>
      <c r="N31">
        <v>1290</v>
      </c>
      <c r="O31">
        <v>1400</v>
      </c>
      <c r="P31">
        <v>1788</v>
      </c>
      <c r="Q31">
        <v>9350</v>
      </c>
      <c r="V31" t="s">
        <v>25</v>
      </c>
      <c r="W31" t="s">
        <v>25</v>
      </c>
      <c r="X31">
        <v>1</v>
      </c>
      <c r="Y31" t="s">
        <v>141</v>
      </c>
    </row>
    <row r="32" spans="1:25" x14ac:dyDescent="0.4">
      <c r="A32" s="12">
        <v>45820.759722222225</v>
      </c>
      <c r="B32" s="10">
        <v>0.75972222222222219</v>
      </c>
      <c r="C32" s="10" t="s">
        <v>192</v>
      </c>
      <c r="D32" s="7" t="s">
        <v>57</v>
      </c>
      <c r="J32" s="20" t="s">
        <v>58</v>
      </c>
      <c r="K32">
        <v>2100</v>
      </c>
      <c r="L32">
        <v>1200</v>
      </c>
      <c r="M32">
        <v>2000</v>
      </c>
      <c r="N32">
        <v>5200</v>
      </c>
      <c r="U32" t="s">
        <v>242</v>
      </c>
      <c r="V32" t="s">
        <v>26</v>
      </c>
      <c r="W32" t="s">
        <v>25</v>
      </c>
      <c r="X32">
        <v>1</v>
      </c>
      <c r="Y32" t="s">
        <v>142</v>
      </c>
    </row>
    <row r="33" spans="1:25" x14ac:dyDescent="0.4">
      <c r="A33" s="12">
        <v>45820.770138888889</v>
      </c>
      <c r="B33" s="10">
        <v>0.77013888888888893</v>
      </c>
      <c r="C33" s="10" t="s">
        <v>193</v>
      </c>
      <c r="D33" s="7" t="s">
        <v>383</v>
      </c>
      <c r="J33" s="20" t="s">
        <v>47</v>
      </c>
      <c r="K33">
        <v>1485</v>
      </c>
      <c r="L33">
        <v>940</v>
      </c>
      <c r="M33">
        <v>949</v>
      </c>
      <c r="N33">
        <v>1400</v>
      </c>
      <c r="O33">
        <v>1400</v>
      </c>
      <c r="P33">
        <v>1288</v>
      </c>
      <c r="V33" t="s">
        <v>26</v>
      </c>
      <c r="W33" t="s">
        <v>25</v>
      </c>
      <c r="X33">
        <v>1</v>
      </c>
      <c r="Y33" t="s">
        <v>384</v>
      </c>
    </row>
    <row r="34" spans="1:25" x14ac:dyDescent="0.4">
      <c r="A34" s="12">
        <v>45820.773611111108</v>
      </c>
      <c r="B34" s="10">
        <v>0.77361111111111114</v>
      </c>
      <c r="C34" s="10" t="s">
        <v>194</v>
      </c>
      <c r="D34" s="7" t="s">
        <v>59</v>
      </c>
      <c r="J34" s="20" t="s">
        <v>60</v>
      </c>
      <c r="K34">
        <v>1290</v>
      </c>
      <c r="L34">
        <v>870</v>
      </c>
      <c r="M34">
        <v>1080</v>
      </c>
      <c r="N34">
        <v>1050</v>
      </c>
      <c r="O34">
        <v>1629</v>
      </c>
      <c r="P34">
        <v>1845</v>
      </c>
      <c r="Q34">
        <v>5315</v>
      </c>
      <c r="V34" t="s">
        <v>25</v>
      </c>
      <c r="W34" t="s">
        <v>25</v>
      </c>
      <c r="X34">
        <v>1</v>
      </c>
      <c r="Y34" t="s">
        <v>143</v>
      </c>
    </row>
    <row r="35" spans="1:25" x14ac:dyDescent="0.4">
      <c r="A35" s="12">
        <v>45820.78125</v>
      </c>
      <c r="B35" s="10">
        <v>0.78125</v>
      </c>
      <c r="C35" s="10" t="s">
        <v>195</v>
      </c>
      <c r="D35" s="7" t="s">
        <v>388</v>
      </c>
      <c r="J35" s="20" t="s">
        <v>47</v>
      </c>
      <c r="L35">
        <v>1000</v>
      </c>
      <c r="N35">
        <v>1400</v>
      </c>
      <c r="O35">
        <v>1500</v>
      </c>
      <c r="V35" t="s">
        <v>26</v>
      </c>
      <c r="W35" t="s">
        <v>25</v>
      </c>
      <c r="X35">
        <v>1</v>
      </c>
      <c r="Y35" t="s">
        <v>387</v>
      </c>
    </row>
    <row r="36" spans="1:25" x14ac:dyDescent="0.4">
      <c r="A36" s="12">
        <v>45820.787499999999</v>
      </c>
      <c r="B36" s="10">
        <v>0.78680555555555554</v>
      </c>
      <c r="C36" s="10" t="s">
        <v>196</v>
      </c>
      <c r="D36" s="7" t="s">
        <v>382</v>
      </c>
      <c r="J36" s="20" t="s">
        <v>61</v>
      </c>
      <c r="K36">
        <v>1950</v>
      </c>
      <c r="L36">
        <v>870</v>
      </c>
      <c r="M36">
        <v>1080</v>
      </c>
      <c r="N36">
        <v>1550</v>
      </c>
      <c r="O36">
        <v>969</v>
      </c>
      <c r="P36">
        <v>139</v>
      </c>
      <c r="Q36">
        <v>8855</v>
      </c>
      <c r="V36" t="s">
        <v>25</v>
      </c>
      <c r="W36" t="s">
        <v>25</v>
      </c>
      <c r="X36">
        <v>1</v>
      </c>
      <c r="Y36" t="s">
        <v>381</v>
      </c>
    </row>
    <row r="37" spans="1:25" x14ac:dyDescent="0.4">
      <c r="A37" s="12">
        <v>45820.792361111111</v>
      </c>
      <c r="B37" s="10">
        <v>0.79236111111111107</v>
      </c>
      <c r="C37" s="10" t="s">
        <v>197</v>
      </c>
      <c r="D37" s="7" t="s">
        <v>62</v>
      </c>
      <c r="J37" s="20" t="s">
        <v>20</v>
      </c>
      <c r="K37">
        <v>1290</v>
      </c>
      <c r="L37">
        <v>749</v>
      </c>
      <c r="M37">
        <v>949</v>
      </c>
      <c r="N37">
        <v>1290</v>
      </c>
      <c r="O37">
        <v>1590</v>
      </c>
      <c r="P37">
        <v>1788</v>
      </c>
      <c r="Q37">
        <v>13500</v>
      </c>
      <c r="V37" t="s">
        <v>25</v>
      </c>
      <c r="W37" t="s">
        <v>25</v>
      </c>
      <c r="X37">
        <v>1</v>
      </c>
      <c r="Y37" t="s">
        <v>144</v>
      </c>
    </row>
    <row r="38" spans="1:25" x14ac:dyDescent="0.4">
      <c r="A38" s="12">
        <v>45820.795138888891</v>
      </c>
      <c r="B38" s="10">
        <v>0.79513888888888884</v>
      </c>
      <c r="C38" s="10" t="s">
        <v>198</v>
      </c>
      <c r="D38" s="7" t="s">
        <v>63</v>
      </c>
      <c r="J38" s="20" t="s">
        <v>35</v>
      </c>
      <c r="O38">
        <v>1000</v>
      </c>
      <c r="V38" t="s">
        <v>26</v>
      </c>
      <c r="W38" t="s">
        <v>25</v>
      </c>
      <c r="X38">
        <v>1</v>
      </c>
      <c r="Y38" t="s">
        <v>145</v>
      </c>
    </row>
    <row r="39" spans="1:25" x14ac:dyDescent="0.4">
      <c r="A39" s="12">
        <v>45820.79583333333</v>
      </c>
      <c r="B39" s="10">
        <v>0.79583333333333328</v>
      </c>
      <c r="C39" s="10" t="s">
        <v>199</v>
      </c>
      <c r="D39" s="7" t="s">
        <v>64</v>
      </c>
      <c r="J39" s="20" t="s">
        <v>21</v>
      </c>
      <c r="Q39">
        <v>545</v>
      </c>
      <c r="V39" t="s">
        <v>25</v>
      </c>
      <c r="W39" t="s">
        <v>25</v>
      </c>
      <c r="X39">
        <v>1</v>
      </c>
      <c r="Y39" t="s">
        <v>146</v>
      </c>
    </row>
    <row r="40" spans="1:25" x14ac:dyDescent="0.4">
      <c r="A40" s="12">
        <v>45820.797222222223</v>
      </c>
      <c r="B40" s="10">
        <v>0.79722222222222228</v>
      </c>
      <c r="C40" s="10" t="s">
        <v>200</v>
      </c>
      <c r="D40" s="7" t="s">
        <v>65</v>
      </c>
      <c r="J40" s="20" t="s">
        <v>66</v>
      </c>
      <c r="L40">
        <v>1400</v>
      </c>
      <c r="M40">
        <v>1200</v>
      </c>
      <c r="P40">
        <v>1500</v>
      </c>
      <c r="V40" t="s">
        <v>26</v>
      </c>
      <c r="W40" t="s">
        <v>25</v>
      </c>
      <c r="X40">
        <v>1</v>
      </c>
      <c r="Y40" t="s">
        <v>147</v>
      </c>
    </row>
    <row r="41" spans="1:25" x14ac:dyDescent="0.4">
      <c r="A41" s="12">
        <v>45820.806250000001</v>
      </c>
      <c r="B41" s="10">
        <v>0.80625000000000002</v>
      </c>
      <c r="C41" s="10" t="s">
        <v>201</v>
      </c>
      <c r="D41" s="7" t="s">
        <v>67</v>
      </c>
      <c r="J41" s="20" t="s">
        <v>35</v>
      </c>
      <c r="O41">
        <v>1000</v>
      </c>
      <c r="V41" t="s">
        <v>26</v>
      </c>
      <c r="W41" t="s">
        <v>25</v>
      </c>
      <c r="X41">
        <v>1</v>
      </c>
      <c r="Y41" t="s">
        <v>148</v>
      </c>
    </row>
    <row r="42" spans="1:25" x14ac:dyDescent="0.4">
      <c r="A42" s="12">
        <v>45820.813888888886</v>
      </c>
      <c r="B42" s="10">
        <v>0.81388888888888888</v>
      </c>
      <c r="C42" s="10" t="s">
        <v>202</v>
      </c>
      <c r="D42" s="7" t="s">
        <v>68</v>
      </c>
      <c r="J42" s="20" t="s">
        <v>69</v>
      </c>
      <c r="K42">
        <v>1290</v>
      </c>
      <c r="L42">
        <v>890</v>
      </c>
      <c r="M42">
        <v>899</v>
      </c>
      <c r="N42">
        <v>1280</v>
      </c>
      <c r="O42">
        <v>600</v>
      </c>
      <c r="P42">
        <v>1278</v>
      </c>
      <c r="Q42">
        <v>13500</v>
      </c>
      <c r="V42" t="s">
        <v>25</v>
      </c>
      <c r="W42" t="s">
        <v>25</v>
      </c>
      <c r="X42">
        <v>1</v>
      </c>
      <c r="Y42" t="s">
        <v>149</v>
      </c>
    </row>
    <row r="43" spans="1:25" x14ac:dyDescent="0.4">
      <c r="A43" s="12">
        <v>45820.821527777778</v>
      </c>
      <c r="B43" s="10">
        <v>0.82152777777777775</v>
      </c>
      <c r="C43" s="10" t="s">
        <v>203</v>
      </c>
      <c r="D43" s="7" t="s">
        <v>70</v>
      </c>
      <c r="J43" s="20" t="s">
        <v>35</v>
      </c>
      <c r="O43">
        <v>750</v>
      </c>
      <c r="V43" t="s">
        <v>26</v>
      </c>
      <c r="W43" t="s">
        <v>25</v>
      </c>
      <c r="X43">
        <v>1</v>
      </c>
      <c r="Y43" t="s">
        <v>150</v>
      </c>
    </row>
    <row r="44" spans="1:25" x14ac:dyDescent="0.4">
      <c r="A44" s="12">
        <v>45820.822222222225</v>
      </c>
      <c r="B44" s="10">
        <v>0.82222222222222219</v>
      </c>
      <c r="C44" s="10" t="s">
        <v>204</v>
      </c>
      <c r="D44" s="7" t="s">
        <v>378</v>
      </c>
      <c r="J44" s="20" t="s">
        <v>24</v>
      </c>
      <c r="K44">
        <v>1600</v>
      </c>
      <c r="L44">
        <v>900</v>
      </c>
      <c r="M44">
        <v>1300</v>
      </c>
      <c r="N44">
        <v>1600</v>
      </c>
      <c r="O44">
        <v>1000</v>
      </c>
      <c r="P44">
        <v>1600</v>
      </c>
      <c r="V44" t="s">
        <v>26</v>
      </c>
      <c r="W44" t="s">
        <v>25</v>
      </c>
      <c r="X44">
        <v>1</v>
      </c>
      <c r="Y44" t="s">
        <v>377</v>
      </c>
    </row>
    <row r="45" spans="1:25" x14ac:dyDescent="0.4">
      <c r="A45" s="12">
        <v>45820.826388888891</v>
      </c>
      <c r="B45" s="10">
        <v>0.82638888888888884</v>
      </c>
      <c r="C45" s="10" t="s">
        <v>205</v>
      </c>
      <c r="D45" s="7" t="s">
        <v>380</v>
      </c>
      <c r="J45" s="20" t="s">
        <v>35</v>
      </c>
      <c r="O45">
        <v>700</v>
      </c>
      <c r="V45" t="s">
        <v>26</v>
      </c>
      <c r="W45" t="s">
        <v>25</v>
      </c>
      <c r="X45">
        <v>1</v>
      </c>
      <c r="Y45" t="s">
        <v>379</v>
      </c>
    </row>
    <row r="46" spans="1:25" x14ac:dyDescent="0.4">
      <c r="A46" s="12">
        <v>45820.827777777777</v>
      </c>
      <c r="B46" s="10">
        <v>0.82777777777777772</v>
      </c>
      <c r="C46" s="10" t="s">
        <v>206</v>
      </c>
      <c r="D46" s="7" t="s">
        <v>71</v>
      </c>
      <c r="J46" s="20" t="s">
        <v>35</v>
      </c>
      <c r="O46">
        <v>700</v>
      </c>
      <c r="V46" t="s">
        <v>26</v>
      </c>
      <c r="W46" t="s">
        <v>25</v>
      </c>
      <c r="X46">
        <v>1</v>
      </c>
      <c r="Y46" t="s">
        <v>151</v>
      </c>
    </row>
    <row r="47" spans="1:25" x14ac:dyDescent="0.4">
      <c r="A47" s="12">
        <v>45820.84652777778</v>
      </c>
      <c r="B47" s="10">
        <v>0.84652777777777777</v>
      </c>
      <c r="C47" s="10" t="s">
        <v>207</v>
      </c>
      <c r="D47" s="7" t="s">
        <v>370</v>
      </c>
      <c r="J47" s="20" t="s">
        <v>35</v>
      </c>
      <c r="O47">
        <v>900</v>
      </c>
      <c r="V47" t="s">
        <v>26</v>
      </c>
      <c r="W47" t="s">
        <v>25</v>
      </c>
      <c r="X47">
        <v>1</v>
      </c>
      <c r="Y47" t="s">
        <v>369</v>
      </c>
    </row>
    <row r="48" spans="1:25" x14ac:dyDescent="0.4">
      <c r="A48" s="12">
        <v>45820.849305555559</v>
      </c>
      <c r="B48" s="10">
        <v>0.84930555555555554</v>
      </c>
      <c r="C48" s="10" t="s">
        <v>208</v>
      </c>
      <c r="D48" s="7" t="s">
        <v>371</v>
      </c>
      <c r="J48" s="20" t="s">
        <v>35</v>
      </c>
      <c r="O48">
        <v>1500</v>
      </c>
      <c r="V48" t="s">
        <v>26</v>
      </c>
      <c r="W48" t="s">
        <v>25</v>
      </c>
      <c r="X48">
        <v>1</v>
      </c>
      <c r="Y48" t="s">
        <v>372</v>
      </c>
    </row>
    <row r="49" spans="1:25" x14ac:dyDescent="0.4">
      <c r="A49" s="12">
        <v>45820.852777777778</v>
      </c>
      <c r="B49" s="10">
        <v>0.85277777777777775</v>
      </c>
      <c r="C49" s="10" t="s">
        <v>209</v>
      </c>
      <c r="D49" s="7" t="s">
        <v>73</v>
      </c>
      <c r="J49" s="20" t="s">
        <v>47</v>
      </c>
      <c r="L49">
        <v>1200</v>
      </c>
      <c r="M49">
        <v>1600</v>
      </c>
      <c r="N49">
        <v>3000</v>
      </c>
      <c r="O49">
        <v>1500</v>
      </c>
      <c r="V49" t="s">
        <v>26</v>
      </c>
      <c r="W49" t="s">
        <v>25</v>
      </c>
      <c r="X49">
        <v>1</v>
      </c>
      <c r="Y49" t="s">
        <v>153</v>
      </c>
    </row>
    <row r="50" spans="1:25" x14ac:dyDescent="0.4">
      <c r="A50" s="12">
        <v>45820.854861111111</v>
      </c>
      <c r="B50" s="10">
        <v>0.85486111111111107</v>
      </c>
      <c r="C50" s="10" t="s">
        <v>210</v>
      </c>
      <c r="D50" s="7" t="s">
        <v>74</v>
      </c>
      <c r="J50" s="20" t="s">
        <v>24</v>
      </c>
      <c r="K50">
        <v>1500</v>
      </c>
      <c r="L50">
        <v>1100</v>
      </c>
      <c r="M50">
        <v>1000</v>
      </c>
      <c r="N50">
        <v>2000</v>
      </c>
      <c r="P50">
        <v>1411</v>
      </c>
      <c r="V50" t="s">
        <v>26</v>
      </c>
      <c r="W50" t="s">
        <v>25</v>
      </c>
      <c r="X50">
        <v>1</v>
      </c>
      <c r="Y50" t="s">
        <v>154</v>
      </c>
    </row>
    <row r="51" spans="1:25" x14ac:dyDescent="0.4">
      <c r="A51" s="12">
        <v>45820.857638888891</v>
      </c>
      <c r="B51" s="10">
        <v>0.85763888888888884</v>
      </c>
      <c r="C51" s="10" t="s">
        <v>211</v>
      </c>
      <c r="D51" s="7" t="s">
        <v>386</v>
      </c>
      <c r="J51" s="20" t="s">
        <v>35</v>
      </c>
      <c r="O51">
        <v>1000</v>
      </c>
      <c r="V51" t="s">
        <v>26</v>
      </c>
      <c r="W51" t="s">
        <v>25</v>
      </c>
      <c r="X51">
        <v>1</v>
      </c>
      <c r="Y51" t="s">
        <v>385</v>
      </c>
    </row>
    <row r="52" spans="1:25" x14ac:dyDescent="0.4">
      <c r="A52" s="12">
        <v>45820.862500000003</v>
      </c>
      <c r="B52" s="10">
        <v>0.86250000000000004</v>
      </c>
      <c r="C52" s="10" t="s">
        <v>212</v>
      </c>
      <c r="D52" s="7" t="s">
        <v>75</v>
      </c>
      <c r="J52" s="20" t="s">
        <v>20</v>
      </c>
      <c r="K52">
        <v>1290</v>
      </c>
      <c r="L52">
        <v>749</v>
      </c>
      <c r="M52">
        <v>949</v>
      </c>
      <c r="N52">
        <v>1290</v>
      </c>
      <c r="O52">
        <v>1590</v>
      </c>
      <c r="P52">
        <v>1788</v>
      </c>
      <c r="Q52">
        <v>13500</v>
      </c>
      <c r="V52" t="s">
        <v>25</v>
      </c>
      <c r="W52" t="s">
        <v>25</v>
      </c>
      <c r="X52">
        <v>1</v>
      </c>
      <c r="Y52" t="s">
        <v>155</v>
      </c>
    </row>
    <row r="53" spans="1:25" x14ac:dyDescent="0.4">
      <c r="A53" s="12">
        <v>45820.862847222219</v>
      </c>
      <c r="B53" s="10">
        <v>0.86284722222222221</v>
      </c>
      <c r="C53" s="10" t="s">
        <v>213</v>
      </c>
      <c r="D53" s="7" t="s">
        <v>76</v>
      </c>
      <c r="J53" s="20" t="s">
        <v>21</v>
      </c>
      <c r="Q53">
        <v>5450</v>
      </c>
      <c r="V53" t="s">
        <v>25</v>
      </c>
      <c r="W53" t="s">
        <v>25</v>
      </c>
      <c r="X53">
        <v>1</v>
      </c>
      <c r="Y53" t="s">
        <v>156</v>
      </c>
    </row>
    <row r="54" spans="1:25" x14ac:dyDescent="0.4">
      <c r="A54" s="12">
        <v>45820.865972222222</v>
      </c>
      <c r="B54" s="10">
        <v>0.86597222222222225</v>
      </c>
      <c r="C54" s="10" t="s">
        <v>214</v>
      </c>
      <c r="D54" s="7" t="s">
        <v>77</v>
      </c>
      <c r="J54" s="20" t="s">
        <v>35</v>
      </c>
      <c r="O54">
        <v>1200</v>
      </c>
      <c r="V54" t="s">
        <v>26</v>
      </c>
      <c r="W54" t="s">
        <v>25</v>
      </c>
      <c r="X54">
        <v>1</v>
      </c>
      <c r="Y54" t="s">
        <v>157</v>
      </c>
    </row>
    <row r="55" spans="1:25" x14ac:dyDescent="0.4">
      <c r="A55" s="12">
        <v>45820.870138888888</v>
      </c>
      <c r="B55" s="10">
        <v>0.87013888888888891</v>
      </c>
      <c r="C55" s="10" t="s">
        <v>215</v>
      </c>
      <c r="D55" s="7" t="s">
        <v>367</v>
      </c>
      <c r="J55" s="20" t="s">
        <v>24</v>
      </c>
      <c r="K55">
        <v>2000</v>
      </c>
      <c r="L55">
        <v>1200</v>
      </c>
      <c r="M55">
        <v>1499</v>
      </c>
      <c r="N55">
        <v>2000</v>
      </c>
      <c r="P55">
        <v>1800</v>
      </c>
      <c r="V55" t="s">
        <v>26</v>
      </c>
      <c r="W55" t="s">
        <v>25</v>
      </c>
      <c r="X55">
        <v>1</v>
      </c>
      <c r="Y55" t="s">
        <v>368</v>
      </c>
    </row>
    <row r="56" spans="1:25" x14ac:dyDescent="0.4">
      <c r="A56" s="12">
        <v>45820.875694444447</v>
      </c>
      <c r="B56" s="10">
        <v>0.87569444444444444</v>
      </c>
      <c r="C56" s="10" t="s">
        <v>216</v>
      </c>
      <c r="D56" s="7" t="s">
        <v>78</v>
      </c>
      <c r="J56" s="20" t="s">
        <v>24</v>
      </c>
      <c r="K56">
        <v>2500</v>
      </c>
      <c r="L56">
        <v>1800</v>
      </c>
      <c r="M56">
        <v>1700</v>
      </c>
      <c r="N56">
        <v>2500</v>
      </c>
      <c r="V56" t="s">
        <v>26</v>
      </c>
      <c r="W56" t="s">
        <v>25</v>
      </c>
      <c r="X56">
        <v>1</v>
      </c>
      <c r="Y56" t="s">
        <v>158</v>
      </c>
    </row>
    <row r="57" spans="1:25" x14ac:dyDescent="0.4">
      <c r="A57" s="12">
        <v>45820.881249999999</v>
      </c>
      <c r="B57" s="10">
        <v>0.88124999999999998</v>
      </c>
      <c r="C57" s="10" t="s">
        <v>217</v>
      </c>
      <c r="D57" s="7" t="s">
        <v>79</v>
      </c>
      <c r="J57" s="20" t="s">
        <v>37</v>
      </c>
      <c r="K57">
        <v>1430</v>
      </c>
      <c r="L57">
        <v>540</v>
      </c>
      <c r="M57">
        <v>990</v>
      </c>
      <c r="N57">
        <v>1475</v>
      </c>
      <c r="O57">
        <v>590</v>
      </c>
      <c r="P57">
        <v>1600</v>
      </c>
      <c r="Q57">
        <v>12800</v>
      </c>
      <c r="V57" t="s">
        <v>25</v>
      </c>
      <c r="W57" t="s">
        <v>25</v>
      </c>
      <c r="X57">
        <v>1</v>
      </c>
      <c r="Y57" t="s">
        <v>391</v>
      </c>
    </row>
    <row r="58" spans="1:25" x14ac:dyDescent="0.4">
      <c r="A58" s="12">
        <v>45820.890277777777</v>
      </c>
      <c r="B58" s="10">
        <v>0.89027777777777772</v>
      </c>
      <c r="C58" s="10" t="s">
        <v>218</v>
      </c>
      <c r="D58" s="7" t="s">
        <v>80</v>
      </c>
      <c r="J58" s="20" t="s">
        <v>35</v>
      </c>
      <c r="O58">
        <v>1000</v>
      </c>
      <c r="V58" t="s">
        <v>26</v>
      </c>
      <c r="W58" t="s">
        <v>25</v>
      </c>
      <c r="X58">
        <v>1</v>
      </c>
      <c r="Y58" t="s">
        <v>159</v>
      </c>
    </row>
    <row r="59" spans="1:25" x14ac:dyDescent="0.4">
      <c r="A59" s="12">
        <v>45820.890972222223</v>
      </c>
      <c r="B59" s="10">
        <v>0.89097222222222228</v>
      </c>
      <c r="C59" s="10" t="s">
        <v>219</v>
      </c>
      <c r="D59" s="7" t="s">
        <v>81</v>
      </c>
      <c r="J59" s="20" t="s">
        <v>24</v>
      </c>
      <c r="K59">
        <v>1800</v>
      </c>
      <c r="L59">
        <v>1300</v>
      </c>
      <c r="M59">
        <v>1600</v>
      </c>
      <c r="N59">
        <v>2000</v>
      </c>
      <c r="P59">
        <v>1600</v>
      </c>
      <c r="V59" t="s">
        <v>26</v>
      </c>
      <c r="W59" t="s">
        <v>25</v>
      </c>
      <c r="X59">
        <v>1</v>
      </c>
      <c r="Y59" t="s">
        <v>160</v>
      </c>
    </row>
    <row r="60" spans="1:25" x14ac:dyDescent="0.4">
      <c r="A60" s="12">
        <v>45820.895138888889</v>
      </c>
      <c r="B60" s="10">
        <v>0.89513888888888893</v>
      </c>
      <c r="C60" s="10" t="s">
        <v>220</v>
      </c>
      <c r="D60" s="7" t="s">
        <v>82</v>
      </c>
      <c r="J60" s="20" t="s">
        <v>20</v>
      </c>
      <c r="K60">
        <v>1290</v>
      </c>
      <c r="L60">
        <v>749</v>
      </c>
      <c r="M60">
        <v>949</v>
      </c>
      <c r="N60">
        <v>1290</v>
      </c>
      <c r="O60">
        <v>1590</v>
      </c>
      <c r="P60">
        <v>1788</v>
      </c>
      <c r="Q60">
        <v>13500</v>
      </c>
      <c r="V60" t="s">
        <v>25</v>
      </c>
      <c r="W60" t="s">
        <v>25</v>
      </c>
      <c r="X60">
        <v>1</v>
      </c>
      <c r="Y60" t="s">
        <v>161</v>
      </c>
    </row>
    <row r="61" spans="1:25" x14ac:dyDescent="0.4">
      <c r="A61" s="12">
        <v>45820.897916666669</v>
      </c>
      <c r="B61" s="10">
        <v>0.8979166666666667</v>
      </c>
      <c r="C61" s="10" t="s">
        <v>221</v>
      </c>
      <c r="D61" s="7" t="s">
        <v>83</v>
      </c>
      <c r="J61" s="20" t="s">
        <v>60</v>
      </c>
      <c r="K61">
        <v>1290</v>
      </c>
      <c r="L61">
        <v>870</v>
      </c>
      <c r="M61">
        <v>1080</v>
      </c>
      <c r="N61">
        <v>1620</v>
      </c>
      <c r="O61">
        <v>869</v>
      </c>
      <c r="P61">
        <v>1059</v>
      </c>
      <c r="Q61">
        <v>5315</v>
      </c>
      <c r="V61" t="s">
        <v>25</v>
      </c>
      <c r="W61" t="s">
        <v>25</v>
      </c>
      <c r="X61">
        <v>1</v>
      </c>
      <c r="Y61" t="s">
        <v>102</v>
      </c>
    </row>
    <row r="62" spans="1:25" x14ac:dyDescent="0.4">
      <c r="A62" s="12">
        <v>45820.904166666667</v>
      </c>
      <c r="B62" s="10">
        <v>0.90416666666666667</v>
      </c>
      <c r="C62" s="10" t="s">
        <v>222</v>
      </c>
      <c r="D62" s="7" t="s">
        <v>84</v>
      </c>
      <c r="J62" s="20" t="s">
        <v>35</v>
      </c>
      <c r="O62">
        <v>800</v>
      </c>
      <c r="V62" t="s">
        <v>26</v>
      </c>
      <c r="W62" t="s">
        <v>25</v>
      </c>
      <c r="X62">
        <v>1</v>
      </c>
      <c r="Y62" t="s">
        <v>115</v>
      </c>
    </row>
    <row r="63" spans="1:25" x14ac:dyDescent="0.4">
      <c r="A63" s="12">
        <v>45820.904861111114</v>
      </c>
      <c r="B63" s="10">
        <v>0.90486111111111112</v>
      </c>
      <c r="C63" s="10" t="s">
        <v>223</v>
      </c>
      <c r="D63" s="7" t="s">
        <v>85</v>
      </c>
      <c r="J63" s="20" t="s">
        <v>66</v>
      </c>
      <c r="L63">
        <v>1400</v>
      </c>
      <c r="M63">
        <v>1500</v>
      </c>
      <c r="P63">
        <v>1700</v>
      </c>
      <c r="V63" t="s">
        <v>26</v>
      </c>
      <c r="W63" t="s">
        <v>25</v>
      </c>
      <c r="X63">
        <v>1</v>
      </c>
      <c r="Y63" t="s">
        <v>103</v>
      </c>
    </row>
    <row r="64" spans="1:25" x14ac:dyDescent="0.4">
      <c r="A64" s="12">
        <v>45820.906944444447</v>
      </c>
      <c r="B64" s="10">
        <v>0.90694444444444444</v>
      </c>
      <c r="C64" s="10" t="s">
        <v>224</v>
      </c>
      <c r="D64" s="7" t="s">
        <v>86</v>
      </c>
      <c r="J64" s="20" t="s">
        <v>87</v>
      </c>
      <c r="Q64">
        <v>8500</v>
      </c>
      <c r="V64" t="s">
        <v>26</v>
      </c>
      <c r="W64" t="s">
        <v>25</v>
      </c>
      <c r="X64">
        <v>1</v>
      </c>
      <c r="Y64" t="s">
        <v>104</v>
      </c>
    </row>
    <row r="65" spans="1:25" x14ac:dyDescent="0.4">
      <c r="A65" s="12">
        <v>45820.90729166667</v>
      </c>
      <c r="B65" s="10">
        <v>0.90729166666666672</v>
      </c>
      <c r="C65" s="10" t="s">
        <v>225</v>
      </c>
      <c r="D65" s="7" t="s">
        <v>88</v>
      </c>
      <c r="J65" s="20" t="s">
        <v>35</v>
      </c>
      <c r="O65">
        <v>700</v>
      </c>
      <c r="V65" t="s">
        <v>26</v>
      </c>
      <c r="W65" t="s">
        <v>25</v>
      </c>
      <c r="X65">
        <v>1</v>
      </c>
      <c r="Y65" t="s">
        <v>105</v>
      </c>
    </row>
    <row r="66" spans="1:25" x14ac:dyDescent="0.4">
      <c r="A66" s="12">
        <v>45820.907638888886</v>
      </c>
      <c r="B66" s="10">
        <v>0.90763888888888888</v>
      </c>
      <c r="C66" s="10" t="s">
        <v>226</v>
      </c>
      <c r="D66" s="7" t="s">
        <v>89</v>
      </c>
      <c r="J66" s="20" t="s">
        <v>87</v>
      </c>
      <c r="Q66">
        <v>17000</v>
      </c>
      <c r="V66" t="s">
        <v>26</v>
      </c>
      <c r="W66" t="s">
        <v>25</v>
      </c>
      <c r="X66">
        <v>1</v>
      </c>
      <c r="Y66" t="s">
        <v>106</v>
      </c>
    </row>
    <row r="67" spans="1:25" x14ac:dyDescent="0.4">
      <c r="A67" s="12">
        <v>45820.907986111109</v>
      </c>
      <c r="B67" s="10">
        <v>0.90798611111111116</v>
      </c>
      <c r="C67" s="10" t="s">
        <v>227</v>
      </c>
      <c r="D67" s="7" t="s">
        <v>90</v>
      </c>
      <c r="J67" s="20" t="s">
        <v>87</v>
      </c>
      <c r="Q67">
        <v>21000</v>
      </c>
      <c r="V67" t="s">
        <v>26</v>
      </c>
      <c r="W67" t="s">
        <v>25</v>
      </c>
      <c r="X67">
        <v>1</v>
      </c>
      <c r="Y67" t="s">
        <v>107</v>
      </c>
    </row>
    <row r="68" spans="1:25" x14ac:dyDescent="0.4">
      <c r="A68" s="12">
        <v>45820.908333333333</v>
      </c>
      <c r="B68" s="10">
        <v>0.90833333333333333</v>
      </c>
      <c r="C68" s="10" t="s">
        <v>228</v>
      </c>
      <c r="D68" s="7" t="s">
        <v>91</v>
      </c>
      <c r="J68" s="20" t="s">
        <v>35</v>
      </c>
      <c r="O68">
        <v>4000</v>
      </c>
      <c r="V68" t="s">
        <v>26</v>
      </c>
      <c r="W68" t="s">
        <v>25</v>
      </c>
      <c r="X68">
        <v>1</v>
      </c>
      <c r="Y68" t="s">
        <v>108</v>
      </c>
    </row>
    <row r="69" spans="1:25" x14ac:dyDescent="0.4">
      <c r="A69" s="12">
        <v>45820.90902777778</v>
      </c>
      <c r="B69" s="10">
        <v>0.90902777777777777</v>
      </c>
      <c r="C69" s="10" t="s">
        <v>229</v>
      </c>
      <c r="D69" s="7" t="s">
        <v>92</v>
      </c>
      <c r="J69" s="20" t="s">
        <v>35</v>
      </c>
      <c r="O69">
        <v>2000</v>
      </c>
      <c r="V69" t="s">
        <v>26</v>
      </c>
      <c r="W69" t="s">
        <v>25</v>
      </c>
      <c r="X69">
        <v>1</v>
      </c>
      <c r="Y69" t="s">
        <v>109</v>
      </c>
    </row>
    <row r="70" spans="1:25" x14ac:dyDescent="0.4">
      <c r="A70" s="12">
        <v>45820.910416666666</v>
      </c>
      <c r="B70" s="10">
        <v>0.91041666666666665</v>
      </c>
      <c r="C70" s="10" t="s">
        <v>230</v>
      </c>
      <c r="D70" s="7" t="s">
        <v>93</v>
      </c>
      <c r="J70" s="20" t="s">
        <v>21</v>
      </c>
      <c r="Q70">
        <v>5450</v>
      </c>
      <c r="V70" t="s">
        <v>25</v>
      </c>
      <c r="W70" t="s">
        <v>25</v>
      </c>
      <c r="X70">
        <v>1</v>
      </c>
      <c r="Y70" t="s">
        <v>110</v>
      </c>
    </row>
    <row r="71" spans="1:25" x14ac:dyDescent="0.4">
      <c r="A71" s="12">
        <v>45820.912499999999</v>
      </c>
      <c r="B71" s="10">
        <v>0.91249999999999998</v>
      </c>
      <c r="C71" s="10" t="s">
        <v>231</v>
      </c>
      <c r="D71" s="7" t="s">
        <v>94</v>
      </c>
      <c r="J71" s="20" t="s">
        <v>66</v>
      </c>
      <c r="P71">
        <v>725</v>
      </c>
      <c r="V71" t="s">
        <v>26</v>
      </c>
      <c r="W71" t="s">
        <v>25</v>
      </c>
      <c r="X71">
        <v>1</v>
      </c>
      <c r="Y71" t="s">
        <v>111</v>
      </c>
    </row>
    <row r="72" spans="1:25" x14ac:dyDescent="0.4">
      <c r="A72" s="12">
        <v>45820.92291666667</v>
      </c>
      <c r="B72" s="10">
        <v>0.92291666666666672</v>
      </c>
      <c r="C72" s="10" t="s">
        <v>232</v>
      </c>
      <c r="D72" s="7" t="s">
        <v>95</v>
      </c>
      <c r="J72" s="20" t="s">
        <v>47</v>
      </c>
      <c r="K72">
        <v>1600</v>
      </c>
      <c r="L72">
        <v>1381</v>
      </c>
      <c r="M72">
        <v>1350</v>
      </c>
      <c r="N72">
        <v>1400</v>
      </c>
      <c r="P72">
        <v>1399</v>
      </c>
      <c r="V72" t="s">
        <v>26</v>
      </c>
      <c r="W72" t="s">
        <v>25</v>
      </c>
      <c r="X72">
        <v>1</v>
      </c>
      <c r="Y72" t="s">
        <v>112</v>
      </c>
    </row>
    <row r="73" spans="1:25" x14ac:dyDescent="0.4">
      <c r="A73" s="12">
        <v>45820.925694444442</v>
      </c>
      <c r="B73" s="10">
        <v>0.92569444444444449</v>
      </c>
      <c r="C73" s="10" t="s">
        <v>233</v>
      </c>
      <c r="D73" s="7" t="s">
        <v>96</v>
      </c>
      <c r="J73" s="20" t="s">
        <v>35</v>
      </c>
      <c r="O73">
        <v>725</v>
      </c>
      <c r="V73" t="s">
        <v>26</v>
      </c>
      <c r="W73" t="s">
        <v>25</v>
      </c>
      <c r="X73">
        <v>1</v>
      </c>
      <c r="Y73" t="s">
        <v>239</v>
      </c>
    </row>
    <row r="74" spans="1:25" x14ac:dyDescent="0.4">
      <c r="A74" s="12">
        <v>45820.926388888889</v>
      </c>
      <c r="B74" s="10">
        <v>0.92638888888888893</v>
      </c>
      <c r="C74" s="10" t="s">
        <v>234</v>
      </c>
      <c r="D74" s="7" t="s">
        <v>97</v>
      </c>
      <c r="J74" s="20" t="s">
        <v>35</v>
      </c>
      <c r="O74">
        <v>725</v>
      </c>
      <c r="V74" t="s">
        <v>26</v>
      </c>
      <c r="W74" t="s">
        <v>25</v>
      </c>
      <c r="X74">
        <v>1</v>
      </c>
      <c r="Y74" t="s">
        <v>113</v>
      </c>
    </row>
    <row r="75" spans="1:25" x14ac:dyDescent="0.4">
      <c r="A75" s="12">
        <v>45820.927083333336</v>
      </c>
      <c r="B75" s="10">
        <v>0.92708333333333337</v>
      </c>
      <c r="C75" s="10" t="s">
        <v>235</v>
      </c>
      <c r="D75" s="7" t="s">
        <v>374</v>
      </c>
      <c r="J75" s="20" t="s">
        <v>20</v>
      </c>
      <c r="K75">
        <v>1290</v>
      </c>
      <c r="L75">
        <v>749</v>
      </c>
      <c r="M75">
        <v>949</v>
      </c>
      <c r="N75">
        <v>1290</v>
      </c>
      <c r="O75">
        <v>1590</v>
      </c>
      <c r="P75">
        <v>1788</v>
      </c>
      <c r="Q75">
        <v>13500</v>
      </c>
      <c r="V75" t="s">
        <v>25</v>
      </c>
      <c r="W75" t="s">
        <v>25</v>
      </c>
      <c r="X75">
        <v>1</v>
      </c>
      <c r="Y75" t="s">
        <v>373</v>
      </c>
    </row>
    <row r="76" spans="1:25" x14ac:dyDescent="0.4">
      <c r="A76" s="12">
        <v>45820.929166666669</v>
      </c>
      <c r="B76" s="10">
        <v>0.9291666666666667</v>
      </c>
      <c r="C76" s="10" t="s">
        <v>236</v>
      </c>
      <c r="D76" s="7" t="s">
        <v>98</v>
      </c>
      <c r="J76" s="20" t="s">
        <v>24</v>
      </c>
      <c r="K76">
        <v>2200</v>
      </c>
      <c r="L76">
        <v>1000</v>
      </c>
      <c r="M76">
        <v>1400</v>
      </c>
      <c r="N76">
        <v>2300</v>
      </c>
      <c r="O76">
        <v>1500</v>
      </c>
      <c r="P76">
        <v>2700</v>
      </c>
      <c r="V76" t="s">
        <v>26</v>
      </c>
      <c r="W76" t="s">
        <v>25</v>
      </c>
      <c r="X76">
        <v>1</v>
      </c>
      <c r="Y76" t="s">
        <v>114</v>
      </c>
    </row>
    <row r="77" spans="1:25" s="15" customFormat="1" x14ac:dyDescent="0.4">
      <c r="A77" s="14"/>
      <c r="D77" s="16"/>
      <c r="J77" s="20"/>
      <c r="K77" s="15" t="s">
        <v>5</v>
      </c>
      <c r="L77" s="15" t="s">
        <v>243</v>
      </c>
      <c r="M77" s="15" t="s">
        <v>6</v>
      </c>
      <c r="N77" s="15" t="s">
        <v>7</v>
      </c>
      <c r="O77" s="15" t="s">
        <v>8</v>
      </c>
      <c r="P77" s="15" t="s">
        <v>9</v>
      </c>
      <c r="Q77" s="15" t="s">
        <v>10</v>
      </c>
    </row>
    <row r="78" spans="1:25" x14ac:dyDescent="0.4">
      <c r="A78" s="12">
        <v>46002</v>
      </c>
      <c r="B78" s="17">
        <v>0.69861111111111107</v>
      </c>
      <c r="C78" s="10" t="s">
        <v>334</v>
      </c>
      <c r="D78" s="8" t="s">
        <v>376</v>
      </c>
      <c r="J78" s="20" t="s">
        <v>35</v>
      </c>
      <c r="O78">
        <v>1200</v>
      </c>
      <c r="V78" t="s">
        <v>26</v>
      </c>
      <c r="W78" t="s">
        <v>25</v>
      </c>
      <c r="X78">
        <v>2</v>
      </c>
      <c r="Y78" t="s">
        <v>375</v>
      </c>
    </row>
    <row r="79" spans="1:25" x14ac:dyDescent="0.4">
      <c r="A79" s="12">
        <v>46002</v>
      </c>
      <c r="B79" s="17">
        <v>0.7</v>
      </c>
      <c r="C79" s="10" t="s">
        <v>335</v>
      </c>
      <c r="D79" s="8" t="s">
        <v>246</v>
      </c>
      <c r="J79" s="20" t="s">
        <v>24</v>
      </c>
      <c r="K79">
        <v>1500</v>
      </c>
      <c r="L79">
        <v>1200</v>
      </c>
      <c r="M79">
        <v>1500</v>
      </c>
      <c r="N79">
        <v>1500</v>
      </c>
      <c r="P79">
        <v>1800</v>
      </c>
      <c r="V79" t="s">
        <v>26</v>
      </c>
      <c r="W79" t="s">
        <v>25</v>
      </c>
      <c r="X79">
        <v>2</v>
      </c>
      <c r="Y79" t="s">
        <v>305</v>
      </c>
    </row>
    <row r="80" spans="1:25" x14ac:dyDescent="0.4">
      <c r="A80" s="12">
        <v>46002</v>
      </c>
      <c r="B80" s="17">
        <v>0.70277777777777772</v>
      </c>
      <c r="C80" s="10" t="s">
        <v>336</v>
      </c>
      <c r="D80" s="8" t="s">
        <v>247</v>
      </c>
      <c r="J80" s="20" t="s">
        <v>21</v>
      </c>
      <c r="Q80">
        <v>13900</v>
      </c>
      <c r="V80" t="s">
        <v>25</v>
      </c>
      <c r="W80" t="s">
        <v>25</v>
      </c>
      <c r="X80">
        <v>2</v>
      </c>
      <c r="Y80" t="s">
        <v>306</v>
      </c>
    </row>
    <row r="81" spans="1:25" x14ac:dyDescent="0.4">
      <c r="A81" s="12">
        <v>46002</v>
      </c>
      <c r="B81" s="17">
        <v>0.70972222222222225</v>
      </c>
      <c r="C81" s="10" t="s">
        <v>337</v>
      </c>
      <c r="D81" s="8" t="s">
        <v>249</v>
      </c>
      <c r="J81" s="20" t="s">
        <v>66</v>
      </c>
      <c r="P81">
        <v>3000</v>
      </c>
      <c r="V81" t="s">
        <v>26</v>
      </c>
      <c r="W81" t="s">
        <v>25</v>
      </c>
      <c r="X81">
        <v>2</v>
      </c>
      <c r="Y81" t="s">
        <v>307</v>
      </c>
    </row>
    <row r="82" spans="1:25" x14ac:dyDescent="0.4">
      <c r="A82" s="12">
        <v>46002</v>
      </c>
      <c r="B82" s="17">
        <v>0.71180555555555558</v>
      </c>
      <c r="C82" s="10" t="s">
        <v>338</v>
      </c>
      <c r="D82" s="8" t="s">
        <v>251</v>
      </c>
      <c r="J82" s="20" t="s">
        <v>35</v>
      </c>
      <c r="O82">
        <v>1000</v>
      </c>
      <c r="V82" t="s">
        <v>26</v>
      </c>
      <c r="W82" t="s">
        <v>25</v>
      </c>
      <c r="X82">
        <v>2</v>
      </c>
      <c r="Y82" t="s">
        <v>308</v>
      </c>
    </row>
    <row r="83" spans="1:25" x14ac:dyDescent="0.4">
      <c r="A83" s="12">
        <v>46002</v>
      </c>
      <c r="B83" s="17">
        <v>0.71319444444444446</v>
      </c>
      <c r="C83" s="10" t="s">
        <v>339</v>
      </c>
      <c r="D83" s="8" t="s">
        <v>253</v>
      </c>
      <c r="J83" s="20" t="s">
        <v>35</v>
      </c>
      <c r="O83">
        <f>1500/2</f>
        <v>750</v>
      </c>
      <c r="V83" t="s">
        <v>26</v>
      </c>
      <c r="W83" t="s">
        <v>25</v>
      </c>
      <c r="X83">
        <v>2</v>
      </c>
      <c r="Y83" t="s">
        <v>309</v>
      </c>
    </row>
    <row r="84" spans="1:25" x14ac:dyDescent="0.4">
      <c r="A84" s="12">
        <v>46002</v>
      </c>
      <c r="B84" s="17">
        <v>0.71527777777777779</v>
      </c>
      <c r="C84" s="10" t="s">
        <v>340</v>
      </c>
      <c r="D84" s="8" t="s">
        <v>255</v>
      </c>
      <c r="J84" s="20" t="s">
        <v>24</v>
      </c>
      <c r="K84">
        <v>1600</v>
      </c>
      <c r="L84">
        <v>1050</v>
      </c>
      <c r="M84">
        <v>1550</v>
      </c>
      <c r="N84">
        <v>1600</v>
      </c>
      <c r="P84">
        <f>14000/10</f>
        <v>1400</v>
      </c>
      <c r="V84" t="s">
        <v>26</v>
      </c>
      <c r="W84" t="s">
        <v>25</v>
      </c>
      <c r="X84">
        <v>2</v>
      </c>
      <c r="Y84" t="s">
        <v>310</v>
      </c>
    </row>
    <row r="85" spans="1:25" x14ac:dyDescent="0.4">
      <c r="A85" s="12">
        <v>46002</v>
      </c>
      <c r="B85" s="17">
        <v>0.71875</v>
      </c>
      <c r="C85" s="10" t="s">
        <v>341</v>
      </c>
      <c r="D85" s="8" t="s">
        <v>257</v>
      </c>
      <c r="J85" s="20" t="s">
        <v>21</v>
      </c>
      <c r="Q85">
        <v>13900</v>
      </c>
      <c r="V85" t="s">
        <v>25</v>
      </c>
      <c r="W85" t="s">
        <v>25</v>
      </c>
      <c r="X85">
        <v>2</v>
      </c>
      <c r="Y85" t="s">
        <v>311</v>
      </c>
    </row>
    <row r="86" spans="1:25" x14ac:dyDescent="0.4">
      <c r="A86" s="12">
        <v>46002</v>
      </c>
      <c r="B86" s="17">
        <v>0.72152777777777777</v>
      </c>
      <c r="C86" s="10" t="s">
        <v>342</v>
      </c>
      <c r="D86" s="8" t="s">
        <v>260</v>
      </c>
      <c r="J86" s="20" t="s">
        <v>20</v>
      </c>
      <c r="K86">
        <v>1190</v>
      </c>
      <c r="L86">
        <v>975</v>
      </c>
      <c r="M86">
        <v>999</v>
      </c>
      <c r="N86">
        <v>1190</v>
      </c>
      <c r="O86">
        <v>1500</v>
      </c>
      <c r="P86">
        <f>3300/3*2</f>
        <v>2200</v>
      </c>
      <c r="Q86">
        <v>13990</v>
      </c>
      <c r="V86" t="s">
        <v>25</v>
      </c>
      <c r="W86" t="s">
        <v>25</v>
      </c>
      <c r="X86">
        <v>2</v>
      </c>
      <c r="Y86" t="s">
        <v>312</v>
      </c>
    </row>
    <row r="87" spans="1:25" x14ac:dyDescent="0.4">
      <c r="A87" s="12">
        <v>46002</v>
      </c>
      <c r="B87" s="17">
        <v>0.73750000000000004</v>
      </c>
      <c r="C87" s="10" t="s">
        <v>343</v>
      </c>
      <c r="D87" s="8" t="s">
        <v>262</v>
      </c>
      <c r="J87" s="20" t="s">
        <v>35</v>
      </c>
      <c r="O87">
        <v>1000</v>
      </c>
      <c r="V87" t="s">
        <v>26</v>
      </c>
      <c r="W87" t="s">
        <v>25</v>
      </c>
      <c r="X87">
        <v>2</v>
      </c>
      <c r="Y87" t="s">
        <v>313</v>
      </c>
    </row>
    <row r="88" spans="1:25" x14ac:dyDescent="0.4">
      <c r="A88" s="12">
        <v>46002</v>
      </c>
      <c r="B88" s="17">
        <v>0.73819444444444449</v>
      </c>
      <c r="C88" s="10" t="s">
        <v>344</v>
      </c>
      <c r="D88" s="8" t="s">
        <v>264</v>
      </c>
      <c r="J88" s="20" t="s">
        <v>24</v>
      </c>
      <c r="K88">
        <v>1900</v>
      </c>
      <c r="L88">
        <v>1200</v>
      </c>
      <c r="M88">
        <v>1800</v>
      </c>
      <c r="N88">
        <v>3000</v>
      </c>
      <c r="Q88">
        <v>10000</v>
      </c>
      <c r="V88" t="s">
        <v>26</v>
      </c>
      <c r="W88" t="s">
        <v>25</v>
      </c>
      <c r="X88">
        <v>2</v>
      </c>
      <c r="Y88" t="s">
        <v>314</v>
      </c>
    </row>
    <row r="89" spans="1:25" x14ac:dyDescent="0.4">
      <c r="A89" s="12">
        <v>46002</v>
      </c>
      <c r="B89" s="17">
        <v>0.74097222222222225</v>
      </c>
      <c r="C89" s="10" t="s">
        <v>345</v>
      </c>
      <c r="D89" s="8" t="s">
        <v>266</v>
      </c>
      <c r="J89" s="20" t="s">
        <v>69</v>
      </c>
      <c r="K89">
        <v>1190</v>
      </c>
      <c r="L89">
        <v>975</v>
      </c>
      <c r="M89">
        <v>999</v>
      </c>
      <c r="N89">
        <v>1190</v>
      </c>
      <c r="O89">
        <v>1500</v>
      </c>
      <c r="P89">
        <f>3300/3*2</f>
        <v>2200</v>
      </c>
      <c r="Q89">
        <v>13990</v>
      </c>
      <c r="V89" t="s">
        <v>25</v>
      </c>
      <c r="W89" t="s">
        <v>25</v>
      </c>
      <c r="X89">
        <v>2</v>
      </c>
      <c r="Y89" t="s">
        <v>315</v>
      </c>
    </row>
    <row r="90" spans="1:25" x14ac:dyDescent="0.4">
      <c r="A90" s="12">
        <v>46002</v>
      </c>
      <c r="B90" s="17">
        <v>0.75</v>
      </c>
      <c r="C90" s="10" t="s">
        <v>346</v>
      </c>
      <c r="D90" s="8" t="s">
        <v>268</v>
      </c>
      <c r="J90" s="20" t="s">
        <v>47</v>
      </c>
      <c r="K90">
        <v>2900</v>
      </c>
      <c r="L90">
        <v>1300</v>
      </c>
      <c r="M90">
        <v>2000</v>
      </c>
      <c r="N90">
        <v>5200</v>
      </c>
      <c r="V90" t="s">
        <v>26</v>
      </c>
      <c r="W90" t="s">
        <v>25</v>
      </c>
      <c r="X90">
        <v>2</v>
      </c>
      <c r="Y90" t="s">
        <v>316</v>
      </c>
    </row>
    <row r="91" spans="1:25" x14ac:dyDescent="0.4">
      <c r="A91" s="12">
        <v>46002</v>
      </c>
      <c r="B91" s="17">
        <v>0.76111111111111107</v>
      </c>
      <c r="C91" s="10" t="s">
        <v>347</v>
      </c>
      <c r="D91" s="8" t="s">
        <v>270</v>
      </c>
      <c r="J91" s="20" t="s">
        <v>47</v>
      </c>
      <c r="K91">
        <v>2200</v>
      </c>
      <c r="L91">
        <v>2200</v>
      </c>
      <c r="M91">
        <v>2000</v>
      </c>
      <c r="O91">
        <v>2000</v>
      </c>
      <c r="V91" t="s">
        <v>26</v>
      </c>
      <c r="W91" t="s">
        <v>25</v>
      </c>
      <c r="X91">
        <v>2</v>
      </c>
      <c r="Y91" t="s">
        <v>317</v>
      </c>
    </row>
    <row r="92" spans="1:25" x14ac:dyDescent="0.4">
      <c r="A92" s="12">
        <v>46002</v>
      </c>
      <c r="B92" s="17">
        <v>0.7631944444444444</v>
      </c>
      <c r="C92" s="10" t="s">
        <v>348</v>
      </c>
      <c r="D92" s="8" t="s">
        <v>272</v>
      </c>
      <c r="J92" s="20" t="s">
        <v>24</v>
      </c>
      <c r="K92">
        <v>1900</v>
      </c>
      <c r="L92">
        <v>1300</v>
      </c>
      <c r="M92">
        <v>1500</v>
      </c>
      <c r="N92">
        <v>2800</v>
      </c>
      <c r="O92">
        <v>1500</v>
      </c>
      <c r="P92">
        <v>1500</v>
      </c>
      <c r="V92" t="s">
        <v>26</v>
      </c>
      <c r="W92" t="s">
        <v>25</v>
      </c>
      <c r="X92">
        <v>2</v>
      </c>
      <c r="Y92" t="s">
        <v>318</v>
      </c>
    </row>
    <row r="93" spans="1:25" x14ac:dyDescent="0.4">
      <c r="A93" s="12">
        <v>46002</v>
      </c>
      <c r="B93" s="17">
        <v>0.77638888888888891</v>
      </c>
      <c r="C93" s="10" t="s">
        <v>349</v>
      </c>
      <c r="D93" s="8" t="s">
        <v>274</v>
      </c>
      <c r="J93" s="20" t="s">
        <v>24</v>
      </c>
      <c r="K93">
        <v>2300</v>
      </c>
      <c r="L93">
        <v>2300</v>
      </c>
      <c r="M93">
        <v>2000</v>
      </c>
      <c r="N93">
        <v>5000</v>
      </c>
      <c r="P93">
        <f>23000/10</f>
        <v>2300</v>
      </c>
      <c r="V93" t="s">
        <v>26</v>
      </c>
      <c r="W93" t="s">
        <v>25</v>
      </c>
      <c r="X93">
        <v>2</v>
      </c>
      <c r="Y93" t="s">
        <v>319</v>
      </c>
    </row>
    <row r="94" spans="1:25" x14ac:dyDescent="0.4">
      <c r="A94" s="12">
        <v>46002</v>
      </c>
      <c r="B94" s="17">
        <v>0.77986111111111112</v>
      </c>
      <c r="C94" s="10" t="s">
        <v>350</v>
      </c>
      <c r="D94" s="8" t="s">
        <v>276</v>
      </c>
      <c r="J94" s="20" t="s">
        <v>47</v>
      </c>
      <c r="M94">
        <v>1600</v>
      </c>
      <c r="N94">
        <v>4000</v>
      </c>
      <c r="O94">
        <v>1500</v>
      </c>
      <c r="V94" t="s">
        <v>26</v>
      </c>
      <c r="W94" t="s">
        <v>25</v>
      </c>
      <c r="X94">
        <v>2</v>
      </c>
      <c r="Y94" t="s">
        <v>320</v>
      </c>
    </row>
    <row r="95" spans="1:25" x14ac:dyDescent="0.4">
      <c r="A95" s="12">
        <v>46002</v>
      </c>
      <c r="B95" s="17">
        <v>0.78472222222222221</v>
      </c>
      <c r="C95" s="10" t="s">
        <v>351</v>
      </c>
      <c r="D95" s="8" t="s">
        <v>278</v>
      </c>
      <c r="J95" s="20" t="s">
        <v>66</v>
      </c>
      <c r="P95">
        <f>1500/2</f>
        <v>750</v>
      </c>
      <c r="V95" t="s">
        <v>26</v>
      </c>
      <c r="W95" t="s">
        <v>25</v>
      </c>
      <c r="X95">
        <v>2</v>
      </c>
      <c r="Y95" t="s">
        <v>321</v>
      </c>
    </row>
    <row r="96" spans="1:25" x14ac:dyDescent="0.4">
      <c r="A96" s="12">
        <v>46002</v>
      </c>
      <c r="B96" s="17">
        <v>0.78680555555555554</v>
      </c>
      <c r="C96" s="10" t="s">
        <v>352</v>
      </c>
      <c r="D96" s="8" t="s">
        <v>280</v>
      </c>
      <c r="J96" s="20" t="s">
        <v>21</v>
      </c>
      <c r="Q96">
        <v>13900</v>
      </c>
      <c r="V96" t="s">
        <v>25</v>
      </c>
      <c r="W96" t="s">
        <v>25</v>
      </c>
      <c r="X96">
        <v>2</v>
      </c>
      <c r="Y96" t="s">
        <v>322</v>
      </c>
    </row>
    <row r="97" spans="1:26" x14ac:dyDescent="0.4">
      <c r="A97" s="12">
        <v>46002</v>
      </c>
      <c r="B97" s="17">
        <v>0.79027777777777775</v>
      </c>
      <c r="C97" s="10" t="s">
        <v>353</v>
      </c>
      <c r="D97" s="8" t="s">
        <v>282</v>
      </c>
      <c r="J97" s="20" t="s">
        <v>20</v>
      </c>
      <c r="K97">
        <v>1190</v>
      </c>
      <c r="L97">
        <v>975</v>
      </c>
      <c r="M97">
        <v>999</v>
      </c>
      <c r="N97">
        <v>1190</v>
      </c>
      <c r="O97">
        <v>1500</v>
      </c>
      <c r="P97">
        <f>3300/3*2</f>
        <v>2200</v>
      </c>
      <c r="Q97">
        <v>13990</v>
      </c>
      <c r="V97" t="s">
        <v>25</v>
      </c>
      <c r="W97" t="s">
        <v>25</v>
      </c>
      <c r="X97">
        <v>2</v>
      </c>
      <c r="Y97" t="s">
        <v>323</v>
      </c>
    </row>
    <row r="98" spans="1:26" x14ac:dyDescent="0.4">
      <c r="A98" s="12">
        <v>46002</v>
      </c>
      <c r="B98" s="17">
        <v>0.8</v>
      </c>
      <c r="C98" s="10" t="s">
        <v>354</v>
      </c>
      <c r="D98" s="8" t="s">
        <v>284</v>
      </c>
      <c r="J98" s="20" t="s">
        <v>47</v>
      </c>
      <c r="L98">
        <v>900</v>
      </c>
      <c r="M98">
        <v>1800</v>
      </c>
      <c r="O98">
        <v>1500</v>
      </c>
      <c r="V98" t="s">
        <v>26</v>
      </c>
      <c r="W98" t="s">
        <v>25</v>
      </c>
      <c r="X98">
        <v>2</v>
      </c>
      <c r="Y98" t="s">
        <v>324</v>
      </c>
    </row>
    <row r="99" spans="1:26" x14ac:dyDescent="0.4">
      <c r="A99" s="12">
        <v>46002</v>
      </c>
      <c r="B99" s="17">
        <v>0.80138888888888893</v>
      </c>
      <c r="C99" s="10" t="s">
        <v>355</v>
      </c>
      <c r="D99" s="8" t="s">
        <v>286</v>
      </c>
      <c r="J99" s="20" t="s">
        <v>35</v>
      </c>
      <c r="O99">
        <v>2000</v>
      </c>
      <c r="V99" t="s">
        <v>26</v>
      </c>
      <c r="W99" t="s">
        <v>25</v>
      </c>
      <c r="X99">
        <v>2</v>
      </c>
      <c r="Y99" t="s">
        <v>325</v>
      </c>
    </row>
    <row r="100" spans="1:26" x14ac:dyDescent="0.4">
      <c r="A100" s="12">
        <v>46002</v>
      </c>
      <c r="B100" s="17">
        <v>0.80972222222222223</v>
      </c>
      <c r="C100" s="10" t="s">
        <v>356</v>
      </c>
      <c r="D100" s="8" t="s">
        <v>288</v>
      </c>
      <c r="J100" s="20" t="s">
        <v>24</v>
      </c>
      <c r="L100">
        <v>1300</v>
      </c>
      <c r="M100">
        <v>1500</v>
      </c>
      <c r="V100" t="s">
        <v>26</v>
      </c>
      <c r="W100" t="s">
        <v>25</v>
      </c>
      <c r="X100">
        <v>2</v>
      </c>
      <c r="Y100" t="s">
        <v>326</v>
      </c>
    </row>
    <row r="101" spans="1:26" x14ac:dyDescent="0.4">
      <c r="A101" s="12">
        <v>46002</v>
      </c>
      <c r="B101" s="17">
        <v>0.81666666666666665</v>
      </c>
      <c r="C101" s="10" t="s">
        <v>357</v>
      </c>
      <c r="D101" s="8" t="s">
        <v>289</v>
      </c>
      <c r="J101" s="20" t="s">
        <v>24</v>
      </c>
      <c r="K101">
        <v>1900</v>
      </c>
      <c r="L101">
        <v>1300</v>
      </c>
      <c r="M101">
        <v>1200</v>
      </c>
      <c r="N101">
        <v>1400</v>
      </c>
      <c r="P101">
        <f>3700/2.5</f>
        <v>1480</v>
      </c>
      <c r="V101" t="s">
        <v>26</v>
      </c>
      <c r="W101" t="s">
        <v>25</v>
      </c>
      <c r="X101">
        <v>2</v>
      </c>
      <c r="Y101" t="s">
        <v>326</v>
      </c>
    </row>
    <row r="102" spans="1:26" x14ac:dyDescent="0.4">
      <c r="A102" s="12">
        <v>46002</v>
      </c>
      <c r="B102" s="17">
        <v>0.82222222222222219</v>
      </c>
      <c r="C102" s="10" t="s">
        <v>358</v>
      </c>
      <c r="D102" s="8" t="s">
        <v>291</v>
      </c>
      <c r="J102" s="20" t="s">
        <v>21</v>
      </c>
      <c r="Q102">
        <v>13900</v>
      </c>
      <c r="V102" t="s">
        <v>25</v>
      </c>
      <c r="W102" t="s">
        <v>25</v>
      </c>
      <c r="X102">
        <v>2</v>
      </c>
      <c r="Y102" t="s">
        <v>327</v>
      </c>
    </row>
    <row r="103" spans="1:26" x14ac:dyDescent="0.4">
      <c r="A103" s="12">
        <v>46002</v>
      </c>
      <c r="B103" s="17">
        <v>0.82708333333333328</v>
      </c>
      <c r="C103" s="10" t="s">
        <v>359</v>
      </c>
      <c r="D103" s="8" t="s">
        <v>293</v>
      </c>
      <c r="J103" s="20" t="s">
        <v>24</v>
      </c>
      <c r="K103">
        <v>1600</v>
      </c>
      <c r="L103">
        <v>1400</v>
      </c>
      <c r="M103">
        <v>1600</v>
      </c>
      <c r="N103">
        <v>2300</v>
      </c>
      <c r="O103">
        <v>1000</v>
      </c>
      <c r="P103">
        <f>4000/2.5</f>
        <v>1600</v>
      </c>
      <c r="V103" t="s">
        <v>26</v>
      </c>
      <c r="W103" t="s">
        <v>25</v>
      </c>
      <c r="X103">
        <v>2</v>
      </c>
      <c r="Y103" t="s">
        <v>328</v>
      </c>
    </row>
    <row r="104" spans="1:26" x14ac:dyDescent="0.4">
      <c r="A104" s="12">
        <v>46002</v>
      </c>
      <c r="B104" s="17">
        <v>0.83819444444444446</v>
      </c>
      <c r="C104" s="10" t="s">
        <v>360</v>
      </c>
      <c r="D104" s="8" t="s">
        <v>295</v>
      </c>
      <c r="J104" s="20" t="s">
        <v>35</v>
      </c>
      <c r="L104">
        <v>3000</v>
      </c>
      <c r="O104">
        <v>1500</v>
      </c>
      <c r="V104" t="s">
        <v>26</v>
      </c>
      <c r="W104" t="s">
        <v>25</v>
      </c>
      <c r="X104">
        <v>2</v>
      </c>
      <c r="Y104" t="s">
        <v>329</v>
      </c>
    </row>
    <row r="105" spans="1:26" x14ac:dyDescent="0.4">
      <c r="A105" s="12">
        <v>46002</v>
      </c>
      <c r="B105" s="17">
        <v>0.84027777777777779</v>
      </c>
      <c r="C105" s="10" t="s">
        <v>361</v>
      </c>
      <c r="D105" s="8" t="s">
        <v>297</v>
      </c>
      <c r="J105" s="20" t="s">
        <v>47</v>
      </c>
      <c r="K105">
        <v>2200</v>
      </c>
      <c r="L105">
        <v>2500</v>
      </c>
      <c r="M105">
        <v>2500</v>
      </c>
      <c r="N105">
        <v>3000</v>
      </c>
      <c r="O105">
        <v>1500</v>
      </c>
      <c r="V105" t="s">
        <v>26</v>
      </c>
      <c r="W105" t="s">
        <v>25</v>
      </c>
      <c r="X105">
        <v>2</v>
      </c>
      <c r="Y105" t="s">
        <v>330</v>
      </c>
    </row>
    <row r="106" spans="1:26" x14ac:dyDescent="0.4">
      <c r="A106" s="12">
        <v>46002</v>
      </c>
      <c r="B106" s="17">
        <v>0.84375</v>
      </c>
      <c r="C106" s="10" t="s">
        <v>362</v>
      </c>
      <c r="D106" s="8" t="s">
        <v>299</v>
      </c>
      <c r="J106" s="20" t="s">
        <v>35</v>
      </c>
      <c r="O106">
        <v>1500</v>
      </c>
      <c r="V106" t="s">
        <v>26</v>
      </c>
      <c r="W106" t="s">
        <v>25</v>
      </c>
      <c r="X106">
        <v>2</v>
      </c>
      <c r="Y106" t="s">
        <v>331</v>
      </c>
    </row>
    <row r="107" spans="1:26" x14ac:dyDescent="0.4">
      <c r="A107" s="12">
        <v>46002</v>
      </c>
      <c r="B107" s="17">
        <v>0.85069444444444442</v>
      </c>
      <c r="C107" s="10" t="s">
        <v>363</v>
      </c>
      <c r="D107" s="8" t="s">
        <v>301</v>
      </c>
      <c r="J107" s="20" t="s">
        <v>37</v>
      </c>
      <c r="K107">
        <v>1290</v>
      </c>
      <c r="L107">
        <v>945</v>
      </c>
      <c r="M107">
        <v>1090</v>
      </c>
      <c r="N107">
        <v>1225</v>
      </c>
      <c r="O107">
        <v>890</v>
      </c>
      <c r="P107">
        <f>3895/2</f>
        <v>1947.5</v>
      </c>
      <c r="Q107">
        <v>15600</v>
      </c>
      <c r="V107" t="s">
        <v>25</v>
      </c>
      <c r="W107" t="s">
        <v>25</v>
      </c>
      <c r="X107">
        <v>2</v>
      </c>
      <c r="Y107" t="s">
        <v>332</v>
      </c>
    </row>
    <row r="108" spans="1:26" x14ac:dyDescent="0.4">
      <c r="A108" s="12">
        <v>46002</v>
      </c>
      <c r="B108" s="17">
        <v>0.85347222222222219</v>
      </c>
      <c r="C108" s="10" t="s">
        <v>364</v>
      </c>
      <c r="D108" s="8" t="s">
        <v>303</v>
      </c>
      <c r="J108" s="20" t="s">
        <v>35</v>
      </c>
      <c r="O108">
        <v>2000</v>
      </c>
      <c r="V108" t="s">
        <v>26</v>
      </c>
      <c r="W108" t="s">
        <v>25</v>
      </c>
      <c r="X108">
        <v>2</v>
      </c>
      <c r="Y108" t="s">
        <v>333</v>
      </c>
    </row>
    <row r="109" spans="1:26" s="15" customFormat="1" x14ac:dyDescent="0.4">
      <c r="A109" s="14"/>
      <c r="D109" s="16"/>
      <c r="K109" s="15" t="s">
        <v>5</v>
      </c>
      <c r="L109" s="15" t="s">
        <v>243</v>
      </c>
      <c r="M109" s="15" t="s">
        <v>6</v>
      </c>
      <c r="N109" s="15" t="s">
        <v>7</v>
      </c>
      <c r="O109" s="15" t="s">
        <v>8</v>
      </c>
      <c r="P109" s="15" t="s">
        <v>9</v>
      </c>
      <c r="Q109" s="15" t="s">
        <v>10</v>
      </c>
      <c r="R109" s="15" t="s">
        <v>11</v>
      </c>
      <c r="S109" s="15" t="s">
        <v>12</v>
      </c>
      <c r="T109" s="15" t="s">
        <v>13</v>
      </c>
      <c r="U109" s="15" t="s">
        <v>14</v>
      </c>
      <c r="V109" s="15" t="s">
        <v>244</v>
      </c>
      <c r="W109" s="15" t="s">
        <v>15</v>
      </c>
      <c r="X109" s="15" t="s">
        <v>259</v>
      </c>
      <c r="Y109" s="15" t="s">
        <v>237</v>
      </c>
      <c r="Z109" s="15" t="s">
        <v>16</v>
      </c>
    </row>
    <row r="110" spans="1:26" x14ac:dyDescent="0.4">
      <c r="A110" s="12">
        <v>45733</v>
      </c>
      <c r="B110" s="17">
        <v>0.59652777777777777</v>
      </c>
      <c r="C110" s="10" t="s">
        <v>426</v>
      </c>
      <c r="D110" s="8" t="s">
        <v>395</v>
      </c>
      <c r="J110" s="20" t="s">
        <v>58</v>
      </c>
      <c r="K110">
        <v>1800</v>
      </c>
      <c r="L110">
        <v>1200</v>
      </c>
      <c r="M110">
        <v>1500</v>
      </c>
      <c r="N110">
        <v>2000</v>
      </c>
      <c r="O110">
        <v>1500</v>
      </c>
      <c r="P110">
        <v>1700</v>
      </c>
      <c r="V110" t="s">
        <v>26</v>
      </c>
      <c r="W110" t="s">
        <v>25</v>
      </c>
      <c r="X110">
        <v>3</v>
      </c>
      <c r="Y110" t="s">
        <v>638</v>
      </c>
    </row>
    <row r="111" spans="1:26" x14ac:dyDescent="0.4">
      <c r="A111" s="12">
        <v>45733</v>
      </c>
      <c r="B111" s="17">
        <v>0.60347222222222219</v>
      </c>
      <c r="C111" s="10" t="s">
        <v>429</v>
      </c>
      <c r="D111" s="8" t="s">
        <v>398</v>
      </c>
      <c r="J111" s="20" t="s">
        <v>21</v>
      </c>
      <c r="Q111">
        <v>20000</v>
      </c>
      <c r="V111" t="s">
        <v>25</v>
      </c>
      <c r="W111" t="s">
        <v>25</v>
      </c>
      <c r="X111">
        <v>3</v>
      </c>
      <c r="Y111" t="s">
        <v>640</v>
      </c>
    </row>
    <row r="112" spans="1:26" x14ac:dyDescent="0.4">
      <c r="A112" s="12">
        <v>45733</v>
      </c>
      <c r="B112" s="17">
        <v>0.61458333333333337</v>
      </c>
      <c r="C112" s="10" t="s">
        <v>433</v>
      </c>
      <c r="D112" s="8" t="s">
        <v>402</v>
      </c>
      <c r="J112" s="20" t="s">
        <v>87</v>
      </c>
      <c r="Q112">
        <v>15720</v>
      </c>
      <c r="V112" t="s">
        <v>26</v>
      </c>
      <c r="W112" t="s">
        <v>25</v>
      </c>
      <c r="X112">
        <v>3</v>
      </c>
      <c r="Y112" t="s">
        <v>644</v>
      </c>
    </row>
    <row r="113" spans="1:25" x14ac:dyDescent="0.4">
      <c r="A113" s="12">
        <v>45733</v>
      </c>
      <c r="B113" s="17">
        <v>0.61527777777777781</v>
      </c>
      <c r="C113" s="10" t="s">
        <v>434</v>
      </c>
      <c r="D113" s="8" t="s">
        <v>403</v>
      </c>
      <c r="J113" s="20" t="s">
        <v>37</v>
      </c>
      <c r="K113">
        <v>1650</v>
      </c>
      <c r="L113">
        <v>945</v>
      </c>
      <c r="M113">
        <v>1250</v>
      </c>
      <c r="N113">
        <v>1260</v>
      </c>
      <c r="O113">
        <v>1390</v>
      </c>
      <c r="P113">
        <v>3360</v>
      </c>
      <c r="Q113">
        <v>20000</v>
      </c>
      <c r="V113" t="s">
        <v>25</v>
      </c>
      <c r="W113" t="s">
        <v>25</v>
      </c>
      <c r="X113">
        <v>3</v>
      </c>
      <c r="Y113" t="s">
        <v>645</v>
      </c>
    </row>
    <row r="114" spans="1:25" x14ac:dyDescent="0.4">
      <c r="A114" s="12">
        <v>45733</v>
      </c>
      <c r="B114" s="17">
        <v>0.62013888888888891</v>
      </c>
      <c r="C114" s="10" t="s">
        <v>435</v>
      </c>
      <c r="D114" s="8" t="s">
        <v>404</v>
      </c>
      <c r="J114" s="20" t="s">
        <v>35</v>
      </c>
      <c r="O114">
        <v>1300</v>
      </c>
      <c r="V114" t="s">
        <v>26</v>
      </c>
      <c r="W114" t="s">
        <v>25</v>
      </c>
      <c r="X114">
        <v>3</v>
      </c>
      <c r="Y114" t="s">
        <v>646</v>
      </c>
    </row>
    <row r="115" spans="1:25" x14ac:dyDescent="0.4">
      <c r="A115" s="12">
        <v>45733</v>
      </c>
      <c r="B115" s="17">
        <v>0.62083333333333335</v>
      </c>
      <c r="C115" s="10" t="s">
        <v>436</v>
      </c>
      <c r="D115" s="8" t="s">
        <v>405</v>
      </c>
      <c r="J115" s="20" t="s">
        <v>21</v>
      </c>
      <c r="Q115">
        <v>20000</v>
      </c>
      <c r="V115" t="s">
        <v>25</v>
      </c>
      <c r="W115" t="s">
        <v>25</v>
      </c>
      <c r="X115">
        <v>3</v>
      </c>
      <c r="Y115" t="s">
        <v>647</v>
      </c>
    </row>
    <row r="116" spans="1:25" x14ac:dyDescent="0.4">
      <c r="A116" s="12">
        <v>45733</v>
      </c>
      <c r="B116" s="17">
        <v>0.62708333333333333</v>
      </c>
      <c r="C116" s="10" t="s">
        <v>438</v>
      </c>
      <c r="D116" s="8" t="s">
        <v>407</v>
      </c>
      <c r="J116" s="20" t="s">
        <v>24</v>
      </c>
      <c r="K116">
        <v>1900</v>
      </c>
      <c r="L116">
        <v>1100</v>
      </c>
      <c r="P116">
        <v>1850</v>
      </c>
      <c r="V116" t="s">
        <v>26</v>
      </c>
      <c r="W116" t="s">
        <v>25</v>
      </c>
      <c r="X116">
        <v>3</v>
      </c>
      <c r="Y116" t="s">
        <v>649</v>
      </c>
    </row>
    <row r="117" spans="1:25" x14ac:dyDescent="0.4">
      <c r="A117" s="12">
        <v>45733</v>
      </c>
      <c r="B117" s="17">
        <v>0.63124999999999998</v>
      </c>
      <c r="C117" s="10" t="s">
        <v>439</v>
      </c>
      <c r="D117" s="8" t="s">
        <v>408</v>
      </c>
      <c r="J117" s="20" t="s">
        <v>35</v>
      </c>
      <c r="O117">
        <v>800</v>
      </c>
      <c r="V117" t="s">
        <v>26</v>
      </c>
      <c r="W117" t="s">
        <v>25</v>
      </c>
      <c r="X117">
        <v>3</v>
      </c>
      <c r="Y117" t="s">
        <v>650</v>
      </c>
    </row>
    <row r="118" spans="1:25" x14ac:dyDescent="0.4">
      <c r="A118" s="12">
        <v>45733</v>
      </c>
      <c r="B118" s="17">
        <v>0.63263888888888886</v>
      </c>
      <c r="C118" s="10" t="s">
        <v>440</v>
      </c>
      <c r="D118" s="8" t="s">
        <v>409</v>
      </c>
      <c r="J118" s="20" t="s">
        <v>20</v>
      </c>
      <c r="K118">
        <v>1190</v>
      </c>
      <c r="L118">
        <v>789</v>
      </c>
      <c r="M118">
        <v>1190</v>
      </c>
      <c r="N118">
        <v>1280</v>
      </c>
      <c r="O118">
        <v>2290</v>
      </c>
      <c r="P118">
        <v>2267</v>
      </c>
      <c r="Q118">
        <v>20500</v>
      </c>
      <c r="V118" t="s">
        <v>25</v>
      </c>
      <c r="W118" t="s">
        <v>25</v>
      </c>
      <c r="X118">
        <v>3</v>
      </c>
      <c r="Y118" t="s">
        <v>652</v>
      </c>
    </row>
    <row r="119" spans="1:25" x14ac:dyDescent="0.4">
      <c r="A119" s="12">
        <v>45733</v>
      </c>
      <c r="B119" s="17">
        <v>0.63611111111111107</v>
      </c>
      <c r="C119" s="10" t="s">
        <v>441</v>
      </c>
      <c r="D119" s="8" t="s">
        <v>410</v>
      </c>
      <c r="J119" s="20" t="s">
        <v>24</v>
      </c>
      <c r="K119">
        <v>1700</v>
      </c>
      <c r="L119">
        <v>1000</v>
      </c>
      <c r="M119">
        <v>1700</v>
      </c>
      <c r="N119">
        <v>1500</v>
      </c>
      <c r="O119">
        <v>1500</v>
      </c>
      <c r="P119">
        <v>4800</v>
      </c>
      <c r="V119" t="s">
        <v>26</v>
      </c>
      <c r="W119" t="s">
        <v>25</v>
      </c>
      <c r="X119">
        <v>3</v>
      </c>
      <c r="Y119" t="s">
        <v>651</v>
      </c>
    </row>
    <row r="120" spans="1:25" x14ac:dyDescent="0.4">
      <c r="A120" s="12">
        <v>45733</v>
      </c>
      <c r="B120" s="17">
        <v>0.64583333333333337</v>
      </c>
      <c r="C120" s="10" t="s">
        <v>442</v>
      </c>
      <c r="D120" s="8" t="s">
        <v>411</v>
      </c>
      <c r="J120" s="20" t="s">
        <v>24</v>
      </c>
      <c r="K120">
        <v>1800</v>
      </c>
      <c r="L120">
        <v>1200</v>
      </c>
      <c r="M120">
        <v>1500</v>
      </c>
      <c r="N120">
        <v>2000</v>
      </c>
      <c r="O120">
        <v>1500</v>
      </c>
      <c r="P120">
        <v>1700</v>
      </c>
      <c r="V120" t="s">
        <v>26</v>
      </c>
      <c r="W120" t="s">
        <v>25</v>
      </c>
      <c r="X120">
        <v>3</v>
      </c>
      <c r="Y120" t="s">
        <v>653</v>
      </c>
    </row>
    <row r="121" spans="1:25" x14ac:dyDescent="0.4">
      <c r="A121" s="12">
        <v>45733</v>
      </c>
      <c r="B121" s="17">
        <v>0.65902777777777777</v>
      </c>
      <c r="C121" s="10" t="s">
        <v>443</v>
      </c>
      <c r="D121" s="8" t="s">
        <v>412</v>
      </c>
      <c r="J121" s="20" t="s">
        <v>20</v>
      </c>
      <c r="K121">
        <v>1190</v>
      </c>
      <c r="L121">
        <v>789</v>
      </c>
      <c r="M121">
        <v>1190</v>
      </c>
      <c r="N121">
        <v>1280</v>
      </c>
      <c r="O121">
        <v>2290</v>
      </c>
      <c r="P121">
        <v>2267</v>
      </c>
      <c r="Q121">
        <v>20500</v>
      </c>
      <c r="V121" t="s">
        <v>25</v>
      </c>
      <c r="W121" t="s">
        <v>25</v>
      </c>
      <c r="X121">
        <v>3</v>
      </c>
      <c r="Y121" t="s">
        <v>654</v>
      </c>
    </row>
    <row r="122" spans="1:25" x14ac:dyDescent="0.4">
      <c r="A122" s="12">
        <v>45733</v>
      </c>
      <c r="B122" s="17">
        <v>0.68958333333333333</v>
      </c>
      <c r="C122" s="10" t="s">
        <v>447</v>
      </c>
      <c r="D122" s="8" t="s">
        <v>416</v>
      </c>
      <c r="J122" s="20" t="s">
        <v>24</v>
      </c>
      <c r="K122">
        <v>2300</v>
      </c>
      <c r="L122">
        <v>1400</v>
      </c>
      <c r="M122">
        <v>1900</v>
      </c>
      <c r="N122">
        <v>2800</v>
      </c>
      <c r="P122">
        <v>2200</v>
      </c>
      <c r="V122" t="s">
        <v>26</v>
      </c>
      <c r="W122" t="s">
        <v>25</v>
      </c>
      <c r="X122">
        <v>3</v>
      </c>
      <c r="Y122" t="s">
        <v>658</v>
      </c>
    </row>
    <row r="123" spans="1:25" x14ac:dyDescent="0.4">
      <c r="A123" s="12">
        <v>45733</v>
      </c>
      <c r="B123" s="17">
        <v>0.70833333333333337</v>
      </c>
      <c r="C123" s="10" t="s">
        <v>448</v>
      </c>
      <c r="D123" s="8" t="s">
        <v>417</v>
      </c>
      <c r="J123" s="20" t="s">
        <v>87</v>
      </c>
      <c r="Q123">
        <v>26000</v>
      </c>
      <c r="V123" t="s">
        <v>26</v>
      </c>
      <c r="W123" t="s">
        <v>25</v>
      </c>
      <c r="X123">
        <v>3</v>
      </c>
      <c r="Y123" t="s">
        <v>657</v>
      </c>
    </row>
    <row r="124" spans="1:25" x14ac:dyDescent="0.4">
      <c r="A124" s="12">
        <v>45733</v>
      </c>
      <c r="B124" s="17">
        <v>0.71805555555555556</v>
      </c>
      <c r="C124" s="10" t="s">
        <v>449</v>
      </c>
      <c r="D124" s="8" t="s">
        <v>418</v>
      </c>
      <c r="J124" s="20" t="s">
        <v>21</v>
      </c>
      <c r="Q124">
        <v>20000</v>
      </c>
      <c r="V124" t="s">
        <v>25</v>
      </c>
      <c r="W124" t="s">
        <v>25</v>
      </c>
      <c r="X124">
        <v>3</v>
      </c>
      <c r="Y124" t="s">
        <v>659</v>
      </c>
    </row>
    <row r="125" spans="1:25" x14ac:dyDescent="0.4">
      <c r="A125" s="12">
        <v>45733</v>
      </c>
      <c r="B125" s="17">
        <v>0.7319444444444444</v>
      </c>
      <c r="C125" s="10" t="s">
        <v>450</v>
      </c>
      <c r="D125" s="8" t="s">
        <v>419</v>
      </c>
      <c r="J125" s="20" t="s">
        <v>35</v>
      </c>
      <c r="O125">
        <v>1000</v>
      </c>
      <c r="V125" t="s">
        <v>26</v>
      </c>
      <c r="W125" t="s">
        <v>25</v>
      </c>
      <c r="X125">
        <v>3</v>
      </c>
      <c r="Y125" t="s">
        <v>660</v>
      </c>
    </row>
    <row r="126" spans="1:25" x14ac:dyDescent="0.4">
      <c r="A126" s="12">
        <v>45733</v>
      </c>
      <c r="B126" s="17">
        <v>0.73402777777777772</v>
      </c>
      <c r="C126" s="10" t="s">
        <v>451</v>
      </c>
      <c r="D126" s="8" t="s">
        <v>420</v>
      </c>
      <c r="J126" s="20" t="s">
        <v>21</v>
      </c>
      <c r="Q126">
        <v>20000</v>
      </c>
      <c r="V126" t="s">
        <v>25</v>
      </c>
      <c r="W126" t="s">
        <v>25</v>
      </c>
      <c r="X126">
        <v>3</v>
      </c>
      <c r="Y126" t="s">
        <v>661</v>
      </c>
    </row>
    <row r="127" spans="1:25" x14ac:dyDescent="0.4">
      <c r="A127" s="12">
        <v>45733</v>
      </c>
      <c r="B127" s="17">
        <v>0.74236111111111114</v>
      </c>
      <c r="C127" s="10" t="s">
        <v>452</v>
      </c>
      <c r="D127" s="8" t="s">
        <v>421</v>
      </c>
      <c r="J127" s="20" t="s">
        <v>20</v>
      </c>
      <c r="K127">
        <v>1190</v>
      </c>
      <c r="L127">
        <v>789</v>
      </c>
      <c r="M127">
        <v>1190</v>
      </c>
      <c r="N127">
        <v>1280</v>
      </c>
      <c r="O127">
        <v>2290</v>
      </c>
      <c r="P127">
        <v>2267</v>
      </c>
      <c r="Q127">
        <v>20500</v>
      </c>
      <c r="V127" t="s">
        <v>25</v>
      </c>
      <c r="W127" t="s">
        <v>25</v>
      </c>
      <c r="X127">
        <v>3</v>
      </c>
      <c r="Y127" t="s">
        <v>662</v>
      </c>
    </row>
    <row r="128" spans="1:25" x14ac:dyDescent="0.4">
      <c r="A128" s="12">
        <v>45733</v>
      </c>
      <c r="B128" s="17">
        <v>0.74305555555555558</v>
      </c>
      <c r="C128" s="10" t="s">
        <v>453</v>
      </c>
      <c r="D128" s="8" t="s">
        <v>422</v>
      </c>
      <c r="J128" s="20" t="s">
        <v>87</v>
      </c>
      <c r="Q128">
        <v>16000</v>
      </c>
      <c r="V128" t="s">
        <v>26</v>
      </c>
      <c r="W128" t="s">
        <v>25</v>
      </c>
      <c r="X128">
        <v>3</v>
      </c>
      <c r="Y128" t="s">
        <v>663</v>
      </c>
    </row>
    <row r="129" spans="1:26" x14ac:dyDescent="0.4">
      <c r="A129" s="12">
        <v>45733</v>
      </c>
      <c r="B129" s="17">
        <v>0.74375000000000002</v>
      </c>
      <c r="C129" s="10" t="s">
        <v>454</v>
      </c>
      <c r="D129" s="8" t="s">
        <v>423</v>
      </c>
      <c r="J129" s="20" t="s">
        <v>35</v>
      </c>
      <c r="O129">
        <v>1500</v>
      </c>
      <c r="V129" t="s">
        <v>26</v>
      </c>
      <c r="W129" t="s">
        <v>25</v>
      </c>
      <c r="X129">
        <v>3</v>
      </c>
      <c r="Y129" t="s">
        <v>664</v>
      </c>
    </row>
    <row r="130" spans="1:26" s="15" customFormat="1" x14ac:dyDescent="0.4">
      <c r="A130" s="14"/>
      <c r="D130" s="16"/>
      <c r="K130" s="15" t="s">
        <v>5</v>
      </c>
      <c r="L130" s="15" t="s">
        <v>243</v>
      </c>
      <c r="M130" s="15" t="s">
        <v>6</v>
      </c>
      <c r="N130" s="15" t="s">
        <v>7</v>
      </c>
      <c r="O130" s="15" t="s">
        <v>8</v>
      </c>
      <c r="P130" s="15" t="s">
        <v>9</v>
      </c>
      <c r="Q130" s="15" t="s">
        <v>10</v>
      </c>
      <c r="R130" s="15" t="s">
        <v>11</v>
      </c>
      <c r="S130" s="15" t="s">
        <v>12</v>
      </c>
      <c r="T130" s="15" t="s">
        <v>13</v>
      </c>
      <c r="U130" s="15" t="s">
        <v>14</v>
      </c>
      <c r="V130" s="15" t="s">
        <v>244</v>
      </c>
      <c r="W130" s="15" t="s">
        <v>15</v>
      </c>
      <c r="X130" s="15" t="s">
        <v>259</v>
      </c>
      <c r="Y130" s="15" t="s">
        <v>237</v>
      </c>
      <c r="Z130" s="15" t="s">
        <v>16</v>
      </c>
    </row>
    <row r="131" spans="1:26" x14ac:dyDescent="0.4">
      <c r="A131" s="12">
        <v>45734</v>
      </c>
      <c r="B131" t="s">
        <v>488</v>
      </c>
      <c r="C131" s="10" t="s">
        <v>706</v>
      </c>
      <c r="D131" s="8" t="s">
        <v>489</v>
      </c>
      <c r="J131" s="20" t="s">
        <v>20</v>
      </c>
      <c r="K131">
        <v>1190</v>
      </c>
      <c r="L131">
        <v>789</v>
      </c>
      <c r="M131">
        <v>1190</v>
      </c>
      <c r="N131">
        <v>1280</v>
      </c>
      <c r="O131">
        <v>2290</v>
      </c>
      <c r="P131">
        <v>2267</v>
      </c>
      <c r="Q131">
        <v>20500</v>
      </c>
      <c r="X131">
        <v>4</v>
      </c>
      <c r="Y131" t="s">
        <v>666</v>
      </c>
    </row>
    <row r="132" spans="1:26" x14ac:dyDescent="0.4">
      <c r="A132" s="12">
        <v>45734</v>
      </c>
      <c r="B132" t="s">
        <v>488</v>
      </c>
      <c r="C132" s="10" t="s">
        <v>707</v>
      </c>
      <c r="D132" s="8" t="s">
        <v>490</v>
      </c>
      <c r="J132" t="s">
        <v>47</v>
      </c>
      <c r="X132">
        <v>4</v>
      </c>
      <c r="Y132" t="s">
        <v>806</v>
      </c>
    </row>
    <row r="133" spans="1:26" x14ac:dyDescent="0.4">
      <c r="A133" s="12">
        <v>45734</v>
      </c>
      <c r="B133" t="s">
        <v>488</v>
      </c>
      <c r="C133" s="10" t="s">
        <v>708</v>
      </c>
      <c r="D133" s="8" t="s">
        <v>494</v>
      </c>
      <c r="J133" t="s">
        <v>24</v>
      </c>
      <c r="X133">
        <v>4</v>
      </c>
      <c r="Y133" t="s">
        <v>667</v>
      </c>
    </row>
    <row r="134" spans="1:26" x14ac:dyDescent="0.4">
      <c r="A134" s="12">
        <v>45734</v>
      </c>
      <c r="B134" t="s">
        <v>488</v>
      </c>
      <c r="C134" s="10" t="s">
        <v>710</v>
      </c>
      <c r="D134" s="8" t="s">
        <v>497</v>
      </c>
      <c r="J134" t="s">
        <v>20</v>
      </c>
      <c r="X134">
        <v>4</v>
      </c>
      <c r="Y134" t="s">
        <v>669</v>
      </c>
    </row>
    <row r="135" spans="1:26" x14ac:dyDescent="0.4">
      <c r="A135" s="12">
        <v>45734</v>
      </c>
      <c r="B135" t="s">
        <v>488</v>
      </c>
      <c r="C135" s="10" t="s">
        <v>711</v>
      </c>
      <c r="D135" s="8" t="s">
        <v>500</v>
      </c>
      <c r="J135" t="s">
        <v>35</v>
      </c>
      <c r="X135">
        <v>4</v>
      </c>
      <c r="Y135" t="s">
        <v>670</v>
      </c>
    </row>
    <row r="136" spans="1:26" x14ac:dyDescent="0.4">
      <c r="A136" s="12">
        <v>45734</v>
      </c>
      <c r="B136" t="s">
        <v>488</v>
      </c>
      <c r="C136" s="10" t="s">
        <v>712</v>
      </c>
      <c r="D136" s="8" t="s">
        <v>501</v>
      </c>
      <c r="J136" t="s">
        <v>502</v>
      </c>
      <c r="X136">
        <v>4</v>
      </c>
      <c r="Y136" t="s">
        <v>805</v>
      </c>
    </row>
    <row r="137" spans="1:26" x14ac:dyDescent="0.4">
      <c r="A137" s="12">
        <v>45734</v>
      </c>
      <c r="B137" t="s">
        <v>488</v>
      </c>
      <c r="C137" s="10" t="s">
        <v>713</v>
      </c>
      <c r="D137" s="8" t="s">
        <v>503</v>
      </c>
      <c r="J137" t="s">
        <v>24</v>
      </c>
      <c r="X137">
        <v>4</v>
      </c>
      <c r="Y137" t="s">
        <v>671</v>
      </c>
    </row>
    <row r="138" spans="1:26" x14ac:dyDescent="0.4">
      <c r="A138" s="12">
        <v>45734</v>
      </c>
      <c r="B138" t="s">
        <v>488</v>
      </c>
      <c r="C138" s="10" t="s">
        <v>714</v>
      </c>
      <c r="D138" s="8" t="s">
        <v>506</v>
      </c>
      <c r="J138" t="s">
        <v>24</v>
      </c>
      <c r="X138">
        <v>4</v>
      </c>
      <c r="Y138" t="s">
        <v>804</v>
      </c>
    </row>
    <row r="139" spans="1:26" x14ac:dyDescent="0.4">
      <c r="A139" s="12">
        <v>45734</v>
      </c>
      <c r="B139" t="s">
        <v>488</v>
      </c>
      <c r="C139" s="10" t="s">
        <v>715</v>
      </c>
      <c r="D139" s="8" t="s">
        <v>508</v>
      </c>
      <c r="J139" t="s">
        <v>24</v>
      </c>
      <c r="X139">
        <v>4</v>
      </c>
      <c r="Y139" t="s">
        <v>672</v>
      </c>
    </row>
    <row r="140" spans="1:26" x14ac:dyDescent="0.4">
      <c r="A140" s="12">
        <v>45734</v>
      </c>
      <c r="B140" t="s">
        <v>488</v>
      </c>
      <c r="C140" s="10" t="s">
        <v>716</v>
      </c>
      <c r="D140" s="8" t="s">
        <v>510</v>
      </c>
      <c r="J140" t="s">
        <v>20</v>
      </c>
      <c r="X140">
        <v>4</v>
      </c>
      <c r="Y140" t="s">
        <v>673</v>
      </c>
    </row>
    <row r="141" spans="1:26" x14ac:dyDescent="0.4">
      <c r="A141" s="12">
        <v>45734</v>
      </c>
      <c r="B141" t="s">
        <v>488</v>
      </c>
      <c r="C141" s="10" t="s">
        <v>717</v>
      </c>
      <c r="D141" s="8" t="s">
        <v>512</v>
      </c>
      <c r="J141" t="s">
        <v>24</v>
      </c>
      <c r="X141">
        <v>4</v>
      </c>
      <c r="Y141" t="s">
        <v>803</v>
      </c>
    </row>
    <row r="142" spans="1:26" x14ac:dyDescent="0.4">
      <c r="A142" s="12">
        <v>45734</v>
      </c>
      <c r="B142" t="s">
        <v>488</v>
      </c>
      <c r="C142" s="10" t="s">
        <v>718</v>
      </c>
      <c r="D142" s="8" t="s">
        <v>514</v>
      </c>
      <c r="J142" t="s">
        <v>20</v>
      </c>
      <c r="X142">
        <v>4</v>
      </c>
      <c r="Y142" t="s">
        <v>802</v>
      </c>
    </row>
    <row r="143" spans="1:26" x14ac:dyDescent="0.4">
      <c r="A143" s="12">
        <v>45734</v>
      </c>
      <c r="B143" t="s">
        <v>488</v>
      </c>
      <c r="C143" s="10" t="s">
        <v>719</v>
      </c>
      <c r="D143" s="8" t="s">
        <v>516</v>
      </c>
      <c r="J143" t="s">
        <v>20</v>
      </c>
      <c r="X143">
        <v>4</v>
      </c>
      <c r="Y143" t="s">
        <v>801</v>
      </c>
    </row>
    <row r="144" spans="1:26" x14ac:dyDescent="0.4">
      <c r="A144" s="12">
        <v>45734</v>
      </c>
      <c r="B144" t="s">
        <v>488</v>
      </c>
      <c r="C144" s="10" t="s">
        <v>720</v>
      </c>
      <c r="D144" s="8" t="s">
        <v>518</v>
      </c>
      <c r="J144" t="s">
        <v>47</v>
      </c>
      <c r="X144">
        <v>4</v>
      </c>
      <c r="Y144" t="s">
        <v>674</v>
      </c>
    </row>
    <row r="145" spans="1:25" x14ac:dyDescent="0.4">
      <c r="A145" s="12">
        <v>45734</v>
      </c>
      <c r="B145" t="s">
        <v>488</v>
      </c>
      <c r="C145" s="10" t="s">
        <v>723</v>
      </c>
      <c r="D145" s="8" t="s">
        <v>524</v>
      </c>
      <c r="J145" t="s">
        <v>58</v>
      </c>
      <c r="X145">
        <v>4</v>
      </c>
      <c r="Y145" t="s">
        <v>677</v>
      </c>
    </row>
    <row r="146" spans="1:25" x14ac:dyDescent="0.4">
      <c r="A146" s="12">
        <v>45734</v>
      </c>
      <c r="B146" t="s">
        <v>488</v>
      </c>
      <c r="C146" s="10" t="s">
        <v>725</v>
      </c>
      <c r="D146" s="8" t="s">
        <v>528</v>
      </c>
      <c r="J146" t="s">
        <v>20</v>
      </c>
      <c r="X146">
        <v>4</v>
      </c>
      <c r="Y146" t="s">
        <v>678</v>
      </c>
    </row>
    <row r="147" spans="1:25" x14ac:dyDescent="0.4">
      <c r="A147" s="12">
        <v>45734</v>
      </c>
      <c r="B147" t="s">
        <v>488</v>
      </c>
      <c r="C147" s="10" t="s">
        <v>729</v>
      </c>
      <c r="D147" s="8" t="s">
        <v>536</v>
      </c>
      <c r="J147" t="s">
        <v>37</v>
      </c>
      <c r="X147">
        <v>4</v>
      </c>
      <c r="Y147" t="s">
        <v>682</v>
      </c>
    </row>
    <row r="148" spans="1:25" x14ac:dyDescent="0.4">
      <c r="A148" s="12">
        <v>45734</v>
      </c>
      <c r="B148" t="s">
        <v>488</v>
      </c>
      <c r="C148" s="10" t="s">
        <v>730</v>
      </c>
      <c r="D148" s="8" t="s">
        <v>538</v>
      </c>
      <c r="J148" t="s">
        <v>24</v>
      </c>
      <c r="X148">
        <v>4</v>
      </c>
      <c r="Y148" t="s">
        <v>683</v>
      </c>
    </row>
    <row r="149" spans="1:25" x14ac:dyDescent="0.4">
      <c r="A149" s="12">
        <v>45734</v>
      </c>
      <c r="B149" t="s">
        <v>488</v>
      </c>
      <c r="C149" s="10" t="s">
        <v>731</v>
      </c>
      <c r="D149" s="8" t="s">
        <v>540</v>
      </c>
      <c r="J149" t="s">
        <v>24</v>
      </c>
      <c r="X149">
        <v>4</v>
      </c>
      <c r="Y149" t="s">
        <v>684</v>
      </c>
    </row>
    <row r="150" spans="1:25" x14ac:dyDescent="0.4">
      <c r="A150" s="12">
        <v>45734</v>
      </c>
      <c r="B150" t="s">
        <v>488</v>
      </c>
      <c r="C150" s="10" t="s">
        <v>732</v>
      </c>
      <c r="D150" s="8" t="s">
        <v>542</v>
      </c>
      <c r="J150" t="s">
        <v>35</v>
      </c>
      <c r="X150">
        <v>4</v>
      </c>
      <c r="Y150" t="s">
        <v>800</v>
      </c>
    </row>
    <row r="151" spans="1:25" x14ac:dyDescent="0.4">
      <c r="A151" s="12">
        <v>45734</v>
      </c>
      <c r="B151" t="s">
        <v>488</v>
      </c>
      <c r="C151" s="10" t="s">
        <v>734</v>
      </c>
      <c r="D151" s="8" t="s">
        <v>546</v>
      </c>
      <c r="J151" t="s">
        <v>20</v>
      </c>
      <c r="X151">
        <v>4</v>
      </c>
      <c r="Y151" t="s">
        <v>685</v>
      </c>
    </row>
    <row r="152" spans="1:25" x14ac:dyDescent="0.4">
      <c r="A152" s="12">
        <v>45734</v>
      </c>
      <c r="B152" t="s">
        <v>488</v>
      </c>
      <c r="C152" s="10" t="s">
        <v>735</v>
      </c>
      <c r="D152" s="8" t="s">
        <v>548</v>
      </c>
      <c r="J152" t="s">
        <v>35</v>
      </c>
      <c r="X152">
        <v>4</v>
      </c>
      <c r="Y152" t="s">
        <v>798</v>
      </c>
    </row>
    <row r="153" spans="1:25" x14ac:dyDescent="0.4">
      <c r="A153" s="12">
        <v>45734</v>
      </c>
      <c r="B153" t="s">
        <v>488</v>
      </c>
      <c r="C153" s="10" t="s">
        <v>737</v>
      </c>
      <c r="D153" s="8" t="s">
        <v>552</v>
      </c>
      <c r="J153" t="s">
        <v>20</v>
      </c>
      <c r="X153">
        <v>4</v>
      </c>
      <c r="Y153" t="s">
        <v>796</v>
      </c>
    </row>
    <row r="154" spans="1:25" x14ac:dyDescent="0.4">
      <c r="A154" s="12">
        <v>45734</v>
      </c>
      <c r="B154" t="s">
        <v>488</v>
      </c>
      <c r="C154" s="10" t="s">
        <v>739</v>
      </c>
      <c r="D154" s="8" t="s">
        <v>556</v>
      </c>
      <c r="J154" t="s">
        <v>37</v>
      </c>
      <c r="X154">
        <v>4</v>
      </c>
      <c r="Y154" t="s">
        <v>686</v>
      </c>
    </row>
    <row r="155" spans="1:25" x14ac:dyDescent="0.4">
      <c r="A155" s="12">
        <v>45734</v>
      </c>
      <c r="B155" t="s">
        <v>488</v>
      </c>
      <c r="C155" s="10" t="s">
        <v>740</v>
      </c>
      <c r="D155" s="8" t="s">
        <v>558</v>
      </c>
      <c r="J155" t="s">
        <v>47</v>
      </c>
      <c r="X155">
        <v>4</v>
      </c>
      <c r="Y155" t="s">
        <v>795</v>
      </c>
    </row>
    <row r="156" spans="1:25" x14ac:dyDescent="0.4">
      <c r="A156" s="12">
        <v>45734</v>
      </c>
      <c r="B156" t="s">
        <v>488</v>
      </c>
      <c r="C156" s="10" t="s">
        <v>741</v>
      </c>
      <c r="D156" s="8" t="s">
        <v>560</v>
      </c>
      <c r="J156" t="s">
        <v>35</v>
      </c>
      <c r="X156">
        <v>4</v>
      </c>
      <c r="Y156" t="s">
        <v>687</v>
      </c>
    </row>
    <row r="157" spans="1:25" x14ac:dyDescent="0.4">
      <c r="A157" s="12">
        <v>45734</v>
      </c>
      <c r="B157" t="s">
        <v>488</v>
      </c>
      <c r="C157" s="10" t="s">
        <v>742</v>
      </c>
      <c r="D157" s="8" t="s">
        <v>562</v>
      </c>
      <c r="J157" t="s">
        <v>47</v>
      </c>
      <c r="X157">
        <v>4</v>
      </c>
      <c r="Y157" t="s">
        <v>809</v>
      </c>
    </row>
    <row r="158" spans="1:25" x14ac:dyDescent="0.4">
      <c r="A158" s="12">
        <v>45734</v>
      </c>
      <c r="B158" t="s">
        <v>488</v>
      </c>
      <c r="C158" s="10" t="s">
        <v>743</v>
      </c>
      <c r="D158" s="8" t="s">
        <v>564</v>
      </c>
      <c r="J158" t="s">
        <v>37</v>
      </c>
      <c r="X158">
        <v>4</v>
      </c>
      <c r="Y158" t="s">
        <v>779</v>
      </c>
    </row>
    <row r="159" spans="1:25" x14ac:dyDescent="0.4">
      <c r="A159" s="12">
        <v>45734</v>
      </c>
      <c r="B159" t="s">
        <v>488</v>
      </c>
      <c r="C159" s="10" t="s">
        <v>744</v>
      </c>
      <c r="D159" s="8" t="s">
        <v>566</v>
      </c>
      <c r="J159" t="s">
        <v>60</v>
      </c>
      <c r="X159">
        <v>4</v>
      </c>
      <c r="Y159" t="s">
        <v>688</v>
      </c>
    </row>
    <row r="160" spans="1:25" x14ac:dyDescent="0.4">
      <c r="A160" s="12">
        <v>45734</v>
      </c>
      <c r="B160" t="s">
        <v>488</v>
      </c>
      <c r="C160" s="10" t="s">
        <v>745</v>
      </c>
      <c r="D160" s="8" t="s">
        <v>568</v>
      </c>
      <c r="J160" t="s">
        <v>20</v>
      </c>
      <c r="X160">
        <v>4</v>
      </c>
      <c r="Y160" t="s">
        <v>689</v>
      </c>
    </row>
    <row r="161" spans="1:25" x14ac:dyDescent="0.4">
      <c r="A161" s="12">
        <v>45734</v>
      </c>
      <c r="B161" t="s">
        <v>488</v>
      </c>
      <c r="C161" s="10" t="s">
        <v>747</v>
      </c>
      <c r="D161" s="8" t="s">
        <v>572</v>
      </c>
      <c r="J161" t="s">
        <v>35</v>
      </c>
      <c r="X161">
        <v>4</v>
      </c>
      <c r="Y161" t="s">
        <v>794</v>
      </c>
    </row>
    <row r="162" spans="1:25" x14ac:dyDescent="0.4">
      <c r="A162" s="12">
        <v>45734</v>
      </c>
      <c r="B162" t="s">
        <v>488</v>
      </c>
      <c r="C162" s="10" t="s">
        <v>750</v>
      </c>
      <c r="D162" s="8" t="s">
        <v>578</v>
      </c>
      <c r="J162" t="s">
        <v>35</v>
      </c>
      <c r="X162">
        <v>4</v>
      </c>
      <c r="Y162" t="s">
        <v>690</v>
      </c>
    </row>
    <row r="163" spans="1:25" x14ac:dyDescent="0.4">
      <c r="A163" s="12">
        <v>45734</v>
      </c>
      <c r="B163" t="s">
        <v>488</v>
      </c>
      <c r="C163" s="10" t="s">
        <v>752</v>
      </c>
      <c r="D163" s="8" t="s">
        <v>582</v>
      </c>
      <c r="J163" t="s">
        <v>35</v>
      </c>
      <c r="X163">
        <v>4</v>
      </c>
      <c r="Y163" t="s">
        <v>785</v>
      </c>
    </row>
    <row r="164" spans="1:25" x14ac:dyDescent="0.4">
      <c r="A164" s="12">
        <v>45734</v>
      </c>
      <c r="B164" t="s">
        <v>488</v>
      </c>
      <c r="C164" s="10" t="s">
        <v>754</v>
      </c>
      <c r="D164" s="8" t="s">
        <v>586</v>
      </c>
      <c r="J164" t="s">
        <v>47</v>
      </c>
      <c r="X164">
        <v>4</v>
      </c>
      <c r="Y164" t="s">
        <v>780</v>
      </c>
    </row>
    <row r="165" spans="1:25" x14ac:dyDescent="0.4">
      <c r="A165" s="12">
        <v>45734</v>
      </c>
      <c r="B165" t="s">
        <v>488</v>
      </c>
      <c r="C165" s="10" t="s">
        <v>755</v>
      </c>
      <c r="D165" s="8" t="s">
        <v>588</v>
      </c>
      <c r="J165" t="s">
        <v>35</v>
      </c>
      <c r="X165">
        <v>4</v>
      </c>
      <c r="Y165" t="s">
        <v>781</v>
      </c>
    </row>
    <row r="166" spans="1:25" x14ac:dyDescent="0.4">
      <c r="A166" s="12">
        <v>45734</v>
      </c>
      <c r="B166" t="s">
        <v>488</v>
      </c>
      <c r="C166" s="10" t="s">
        <v>757</v>
      </c>
      <c r="D166" s="8" t="s">
        <v>593</v>
      </c>
      <c r="J166" t="s">
        <v>35</v>
      </c>
      <c r="X166">
        <v>4</v>
      </c>
      <c r="Y166" t="s">
        <v>693</v>
      </c>
    </row>
    <row r="167" spans="1:25" x14ac:dyDescent="0.4">
      <c r="A167" s="12">
        <v>45734</v>
      </c>
      <c r="B167" t="s">
        <v>488</v>
      </c>
      <c r="C167" s="10" t="s">
        <v>758</v>
      </c>
      <c r="D167" s="8" t="s">
        <v>594</v>
      </c>
      <c r="J167" t="s">
        <v>60</v>
      </c>
      <c r="X167">
        <v>4</v>
      </c>
      <c r="Y167" t="s">
        <v>784</v>
      </c>
    </row>
    <row r="168" spans="1:25" x14ac:dyDescent="0.4">
      <c r="A168" s="12">
        <v>45734</v>
      </c>
      <c r="B168" t="s">
        <v>488</v>
      </c>
      <c r="C168" s="10" t="s">
        <v>759</v>
      </c>
      <c r="D168" s="8" t="s">
        <v>596</v>
      </c>
      <c r="J168" t="s">
        <v>37</v>
      </c>
      <c r="X168">
        <v>4</v>
      </c>
      <c r="Y168" t="s">
        <v>694</v>
      </c>
    </row>
    <row r="169" spans="1:25" x14ac:dyDescent="0.4">
      <c r="A169" s="12">
        <v>45734</v>
      </c>
      <c r="B169" t="s">
        <v>488</v>
      </c>
      <c r="C169" s="10" t="s">
        <v>760</v>
      </c>
      <c r="D169" s="8" t="s">
        <v>598</v>
      </c>
      <c r="J169" t="s">
        <v>47</v>
      </c>
      <c r="X169">
        <v>4</v>
      </c>
      <c r="Y169" t="s">
        <v>695</v>
      </c>
    </row>
    <row r="170" spans="1:25" x14ac:dyDescent="0.4">
      <c r="A170" s="12">
        <v>45734</v>
      </c>
      <c r="B170" t="s">
        <v>488</v>
      </c>
      <c r="C170" s="10" t="s">
        <v>761</v>
      </c>
      <c r="D170" s="8" t="s">
        <v>601</v>
      </c>
      <c r="J170" t="s">
        <v>35</v>
      </c>
      <c r="X170">
        <v>4</v>
      </c>
      <c r="Y170" t="s">
        <v>808</v>
      </c>
    </row>
    <row r="171" spans="1:25" x14ac:dyDescent="0.4">
      <c r="A171" s="12">
        <v>45734</v>
      </c>
      <c r="B171" t="s">
        <v>488</v>
      </c>
      <c r="C171" s="10" t="s">
        <v>762</v>
      </c>
      <c r="D171" s="8" t="s">
        <v>602</v>
      </c>
      <c r="J171" t="s">
        <v>20</v>
      </c>
      <c r="X171">
        <v>4</v>
      </c>
      <c r="Y171" t="s">
        <v>789</v>
      </c>
    </row>
    <row r="172" spans="1:25" x14ac:dyDescent="0.4">
      <c r="A172" s="12">
        <v>45734</v>
      </c>
      <c r="B172" t="s">
        <v>488</v>
      </c>
      <c r="C172" s="10" t="s">
        <v>763</v>
      </c>
      <c r="D172" s="8" t="s">
        <v>605</v>
      </c>
      <c r="J172" t="s">
        <v>35</v>
      </c>
      <c r="X172">
        <v>4</v>
      </c>
      <c r="Y172" t="s">
        <v>790</v>
      </c>
    </row>
    <row r="173" spans="1:25" x14ac:dyDescent="0.4">
      <c r="A173" s="12">
        <v>45734</v>
      </c>
      <c r="B173" t="s">
        <v>488</v>
      </c>
      <c r="C173" s="10" t="s">
        <v>764</v>
      </c>
      <c r="D173" s="8" t="s">
        <v>606</v>
      </c>
      <c r="J173" t="s">
        <v>20</v>
      </c>
      <c r="X173">
        <v>4</v>
      </c>
      <c r="Y173" t="s">
        <v>791</v>
      </c>
    </row>
    <row r="174" spans="1:25" x14ac:dyDescent="0.4">
      <c r="A174" s="12">
        <v>45734</v>
      </c>
      <c r="B174" t="s">
        <v>488</v>
      </c>
      <c r="C174" s="10" t="s">
        <v>765</v>
      </c>
      <c r="D174" s="8" t="s">
        <v>609</v>
      </c>
      <c r="J174" t="s">
        <v>35</v>
      </c>
      <c r="X174">
        <v>4</v>
      </c>
      <c r="Y174" t="s">
        <v>696</v>
      </c>
    </row>
    <row r="175" spans="1:25" x14ac:dyDescent="0.4">
      <c r="A175" s="12">
        <v>45734</v>
      </c>
      <c r="B175" t="s">
        <v>488</v>
      </c>
      <c r="C175" s="10" t="s">
        <v>766</v>
      </c>
      <c r="D175" s="8" t="s">
        <v>610</v>
      </c>
      <c r="J175" t="s">
        <v>47</v>
      </c>
      <c r="X175">
        <v>4</v>
      </c>
      <c r="Y175" t="s">
        <v>697</v>
      </c>
    </row>
    <row r="176" spans="1:25" x14ac:dyDescent="0.4">
      <c r="A176" s="12">
        <v>45734</v>
      </c>
      <c r="B176" t="s">
        <v>488</v>
      </c>
      <c r="C176" s="10" t="s">
        <v>767</v>
      </c>
      <c r="D176" s="8" t="s">
        <v>612</v>
      </c>
      <c r="J176" t="s">
        <v>37</v>
      </c>
      <c r="X176">
        <v>4</v>
      </c>
      <c r="Y176" t="s">
        <v>788</v>
      </c>
    </row>
    <row r="177" spans="1:25" x14ac:dyDescent="0.4">
      <c r="A177" s="12">
        <v>45734</v>
      </c>
      <c r="B177" t="s">
        <v>488</v>
      </c>
      <c r="C177" s="10" t="s">
        <v>768</v>
      </c>
      <c r="D177" s="8" t="s">
        <v>614</v>
      </c>
      <c r="J177" t="s">
        <v>47</v>
      </c>
      <c r="X177">
        <v>4</v>
      </c>
      <c r="Y177" t="s">
        <v>783</v>
      </c>
    </row>
    <row r="178" spans="1:25" x14ac:dyDescent="0.4">
      <c r="A178" s="12">
        <v>45734</v>
      </c>
      <c r="B178" t="s">
        <v>488</v>
      </c>
      <c r="C178" s="10" t="s">
        <v>769</v>
      </c>
      <c r="D178" s="8" t="s">
        <v>616</v>
      </c>
      <c r="J178" t="s">
        <v>37</v>
      </c>
      <c r="X178">
        <v>4</v>
      </c>
      <c r="Y178" t="s">
        <v>698</v>
      </c>
    </row>
    <row r="179" spans="1:25" x14ac:dyDescent="0.4">
      <c r="A179" s="12">
        <v>45734</v>
      </c>
      <c r="B179" t="s">
        <v>488</v>
      </c>
      <c r="C179" s="10" t="s">
        <v>770</v>
      </c>
      <c r="D179" s="8" t="s">
        <v>618</v>
      </c>
      <c r="J179" t="s">
        <v>20</v>
      </c>
      <c r="X179">
        <v>4</v>
      </c>
      <c r="Y179" t="s">
        <v>782</v>
      </c>
    </row>
    <row r="180" spans="1:25" x14ac:dyDescent="0.4">
      <c r="A180" s="12">
        <v>45734</v>
      </c>
      <c r="B180" t="s">
        <v>488</v>
      </c>
      <c r="C180" s="10" t="s">
        <v>771</v>
      </c>
      <c r="D180" s="8" t="s">
        <v>620</v>
      </c>
      <c r="J180" t="s">
        <v>47</v>
      </c>
      <c r="X180">
        <v>4</v>
      </c>
      <c r="Y180" t="s">
        <v>699</v>
      </c>
    </row>
    <row r="181" spans="1:25" x14ac:dyDescent="0.4">
      <c r="A181" s="12">
        <v>45734</v>
      </c>
      <c r="B181" t="s">
        <v>488</v>
      </c>
      <c r="C181" s="10" t="s">
        <v>772</v>
      </c>
      <c r="D181" s="8" t="s">
        <v>622</v>
      </c>
      <c r="J181" t="s">
        <v>35</v>
      </c>
      <c r="X181">
        <v>4</v>
      </c>
      <c r="Y181" t="s">
        <v>700</v>
      </c>
    </row>
    <row r="182" spans="1:25" x14ac:dyDescent="0.4">
      <c r="A182" s="12">
        <v>45734</v>
      </c>
      <c r="B182" t="s">
        <v>488</v>
      </c>
      <c r="C182" s="10" t="s">
        <v>773</v>
      </c>
      <c r="D182" s="8" t="s">
        <v>624</v>
      </c>
      <c r="J182" t="s">
        <v>20</v>
      </c>
      <c r="X182">
        <v>4</v>
      </c>
      <c r="Y182" t="s">
        <v>701</v>
      </c>
    </row>
    <row r="183" spans="1:25" x14ac:dyDescent="0.4">
      <c r="A183" s="12">
        <v>45734</v>
      </c>
      <c r="B183" t="s">
        <v>488</v>
      </c>
      <c r="C183" s="10" t="s">
        <v>774</v>
      </c>
      <c r="D183" s="8" t="s">
        <v>626</v>
      </c>
      <c r="J183" t="s">
        <v>35</v>
      </c>
      <c r="X183">
        <v>4</v>
      </c>
      <c r="Y183" t="s">
        <v>702</v>
      </c>
    </row>
    <row r="184" spans="1:25" x14ac:dyDescent="0.4">
      <c r="A184" s="12">
        <v>45734</v>
      </c>
      <c r="B184" t="s">
        <v>488</v>
      </c>
      <c r="C184" s="10" t="s">
        <v>775</v>
      </c>
      <c r="D184" s="8" t="s">
        <v>628</v>
      </c>
      <c r="J184" t="s">
        <v>60</v>
      </c>
      <c r="X184">
        <v>4</v>
      </c>
      <c r="Y184" t="s">
        <v>703</v>
      </c>
    </row>
    <row r="185" spans="1:25" x14ac:dyDescent="0.4">
      <c r="A185" s="12">
        <v>45734</v>
      </c>
      <c r="B185" t="s">
        <v>488</v>
      </c>
      <c r="C185" s="10" t="s">
        <v>776</v>
      </c>
      <c r="D185" s="8" t="s">
        <v>630</v>
      </c>
      <c r="J185" t="s">
        <v>47</v>
      </c>
      <c r="X185">
        <v>4</v>
      </c>
      <c r="Y185" t="s">
        <v>704</v>
      </c>
    </row>
  </sheetData>
  <phoneticPr fontId="6" type="noConversion"/>
  <hyperlinks>
    <hyperlink ref="D2" r:id="rId1" xr:uid="{FBF7DDBD-1EC4-4873-944F-9E629247EF22}"/>
    <hyperlink ref="D3" r:id="rId2" xr:uid="{E63B24D6-4F95-434A-800C-1D57325B610A}"/>
    <hyperlink ref="D4" r:id="rId3" xr:uid="{B1315777-DE05-4CC8-8201-255AE1918DDD}"/>
    <hyperlink ref="D6" r:id="rId4" xr:uid="{922133D1-D3A4-4C51-81F7-4665F8E12D45}"/>
    <hyperlink ref="D7" r:id="rId5" xr:uid="{05DAA6D8-71DA-48C4-B8EB-54FD10A22CC4}"/>
    <hyperlink ref="D8" r:id="rId6" xr:uid="{E23E8C43-D2C8-47DE-9049-AB937AF3664E}"/>
    <hyperlink ref="D9" r:id="rId7" xr:uid="{A6A16B75-2F2B-46F5-8289-45DE0FB905C0}"/>
    <hyperlink ref="D10" r:id="rId8" xr:uid="{3383D294-A08B-44D0-8231-2B1B470D1819}"/>
    <hyperlink ref="D11" r:id="rId9" xr:uid="{78EB432A-CAF2-42F1-A19A-DFDF0FC674FF}"/>
    <hyperlink ref="D12" r:id="rId10" xr:uid="{38BAB723-547E-4775-8E05-1455DDB50C13}"/>
    <hyperlink ref="D14" r:id="rId11" xr:uid="{1604CFEE-3E60-45F4-B4F9-EC8B8486BDF4}"/>
    <hyperlink ref="D15" r:id="rId12" xr:uid="{C8DE7F22-28D7-4602-95AC-801F4E941FB7}"/>
    <hyperlink ref="D16" r:id="rId13" xr:uid="{F2D9FE1C-6398-44A6-9491-C044DD46A65C}"/>
    <hyperlink ref="D17" r:id="rId14" xr:uid="{DCCF0236-2107-404F-A3E5-CD3E57714E88}"/>
    <hyperlink ref="D18" r:id="rId15" xr:uid="{8769EE86-B3E7-42BB-95A2-18EC2708EB65}"/>
    <hyperlink ref="D19" r:id="rId16" xr:uid="{1964888D-BB19-40EE-A00B-1BF8C31402B1}"/>
    <hyperlink ref="D20" r:id="rId17" xr:uid="{2EF06C4F-F999-4751-9923-E85F89354A63}"/>
    <hyperlink ref="D21" r:id="rId18" xr:uid="{203FA3FE-B7F3-484A-BCBA-BEC3B565D6B5}"/>
    <hyperlink ref="D22" r:id="rId19" xr:uid="{4D958BAB-35F7-4887-97A9-DFFA19977D71}"/>
    <hyperlink ref="D23" r:id="rId20" xr:uid="{6AB16552-E7D3-4185-9396-1F036B3B2CB9}"/>
    <hyperlink ref="D24" r:id="rId21" xr:uid="{C0FE893A-6758-4A3A-B34D-E85BBC304FEB}"/>
    <hyperlink ref="D25" r:id="rId22" xr:uid="{370D3FAC-EC09-4DD2-B9A9-2ABA305E87E7}"/>
    <hyperlink ref="D26" r:id="rId23" xr:uid="{A70BD821-904A-4307-8694-92C33BB216EC}"/>
    <hyperlink ref="D27" r:id="rId24" xr:uid="{D32D196B-EB3F-46A8-AECA-1F0CA8ED5A4B}"/>
    <hyperlink ref="D28" r:id="rId25" xr:uid="{39C55308-8296-48BD-9799-32E3D30F8876}"/>
    <hyperlink ref="D29" r:id="rId26" xr:uid="{95AEF57E-B47B-4ECA-B3EE-3548217A76B5}"/>
    <hyperlink ref="D30" r:id="rId27" xr:uid="{7FCA1409-2A7F-48D9-B888-FD1AF00A1D54}"/>
    <hyperlink ref="D31" r:id="rId28" xr:uid="{A3E654D2-3C80-4EDF-86EC-AAAC7B01DA30}"/>
    <hyperlink ref="D32" r:id="rId29" xr:uid="{E456A4BD-870B-4F40-8838-ED171E1FF425}"/>
    <hyperlink ref="D34" r:id="rId30" xr:uid="{7BD77EF0-8032-461F-9774-7E184E3DBCFB}"/>
    <hyperlink ref="D37" r:id="rId31" xr:uid="{1EE51ECD-69AF-494B-8520-BD6261336C89}"/>
    <hyperlink ref="D41" r:id="rId32" xr:uid="{CE6ABC30-A360-4542-9DEE-683C8DDB8042}"/>
    <hyperlink ref="D42" r:id="rId33" xr:uid="{BAE7041E-15D3-4E82-ACB1-FE2CC2921852}"/>
    <hyperlink ref="D43" r:id="rId34" xr:uid="{79146B76-70C1-4682-9B9F-6016826D45FD}"/>
    <hyperlink ref="D46" r:id="rId35" xr:uid="{58BA3545-02BC-4641-B982-97D2A73CCD98}"/>
    <hyperlink ref="D49" r:id="rId36" xr:uid="{9AC29BD2-ED28-46F7-9DF7-E7C149BB65EE}"/>
    <hyperlink ref="D50" r:id="rId37" xr:uid="{EBF959DC-367B-4FA9-AA50-D57F9F44FEB1}"/>
    <hyperlink ref="D52" r:id="rId38" xr:uid="{233C5DFE-BEC5-4DD5-A564-9A42403184CD}"/>
    <hyperlink ref="D53" r:id="rId39" xr:uid="{998E828F-A35D-47B7-9AFC-8E53F6BA3F1C}"/>
    <hyperlink ref="D54" r:id="rId40" xr:uid="{AFFED709-8239-4FA3-9121-E2ADCD0F842F}"/>
    <hyperlink ref="D56" r:id="rId41" xr:uid="{C08F5748-5739-4F5F-B521-43C37C580D00}"/>
    <hyperlink ref="D57" r:id="rId42" xr:uid="{71554D1B-F9B1-490D-9819-224DB54580DF}"/>
    <hyperlink ref="D58" r:id="rId43" xr:uid="{9D65CD39-25FB-40D0-8C96-2E9EA3C4E94D}"/>
    <hyperlink ref="D59" r:id="rId44" xr:uid="{4C0F0048-A8CF-4382-9173-B555B3A2BD17}"/>
    <hyperlink ref="D60" r:id="rId45" xr:uid="{BFB3DAF1-00FA-40C7-9AFD-504413148B14}"/>
    <hyperlink ref="D61" r:id="rId46" xr:uid="{3C153DC1-7651-48CC-B70A-BB8F96EBB412}"/>
    <hyperlink ref="D62" r:id="rId47" xr:uid="{6A01D59A-0361-45B4-B8B7-C1616567C3ED}"/>
    <hyperlink ref="D63" r:id="rId48" xr:uid="{4AA3E144-4131-432C-8D00-69EDE0E48BD6}"/>
    <hyperlink ref="D64" r:id="rId49" xr:uid="{595BC966-A242-4E1A-B35E-593FB9F5DB81}"/>
    <hyperlink ref="D65" r:id="rId50" xr:uid="{8DF8CB04-C5EE-4608-BC08-316B9162FE8B}"/>
    <hyperlink ref="D66" r:id="rId51" xr:uid="{E320E887-2E4E-4A15-9487-623EF9E36775}"/>
    <hyperlink ref="D67" r:id="rId52" xr:uid="{2970998B-B166-4E3A-8AC5-295C3A6133E2}"/>
    <hyperlink ref="D68" r:id="rId53" xr:uid="{99D72668-62E1-414D-A8FD-5BE14E55D238}"/>
    <hyperlink ref="D69" r:id="rId54" xr:uid="{435035DD-083E-4E25-AC57-BF43FAB00460}"/>
    <hyperlink ref="D70" r:id="rId55" xr:uid="{86428C06-7AEE-42F5-B729-C598EBED08EF}"/>
    <hyperlink ref="D71" r:id="rId56" xr:uid="{EBB633DA-3CD1-4421-B9C2-5CB3514A982B}"/>
    <hyperlink ref="D72" r:id="rId57" xr:uid="{234F2EA6-1990-4DC2-AEA0-4BA7837870FB}"/>
    <hyperlink ref="D73" r:id="rId58" xr:uid="{732D4B70-FD82-435E-B5AA-CB8078A5C21D}"/>
    <hyperlink ref="D74" r:id="rId59" xr:uid="{E265A52B-005B-48BB-847F-D4C8925D1768}"/>
    <hyperlink ref="D76" r:id="rId60" xr:uid="{BC6E1B13-50C4-4FD0-B155-CB1484A528AB}"/>
    <hyperlink ref="D5" r:id="rId61" xr:uid="{2A3CDF9E-BC79-46F9-B457-42B761ACD097}"/>
    <hyperlink ref="D38" r:id="rId62" xr:uid="{CBEC265E-2E7F-49F7-AFE2-B854546EC169}"/>
    <hyperlink ref="D39" r:id="rId63" xr:uid="{8989D088-3173-4782-9CBD-DFD3278E91D3}"/>
    <hyperlink ref="D40" r:id="rId64" xr:uid="{E57FB86E-B967-4E0B-8660-AFEF8245A91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963EFB-1B60-404C-BE2B-9D6852B06E37}">
          <x14:formula1>
            <xm:f>Hoja2!$A$1:$A$14</xm:f>
          </x14:formula1>
          <xm:sqref>J2:J1048576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A50A-FAEB-47FC-8991-90252C55E4A1}">
  <dimension ref="A1:Z71"/>
  <sheetViews>
    <sheetView topLeftCell="A14" workbookViewId="0">
      <selection activeCell="P30" sqref="P30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s="9" customFormat="1" x14ac:dyDescent="0.4"/>
    <row r="3" spans="1:26" x14ac:dyDescent="0.4">
      <c r="A3" s="12">
        <v>45820.852777777778</v>
      </c>
      <c r="B3" s="10">
        <v>0.85277777777777775</v>
      </c>
      <c r="C3" s="10" t="s">
        <v>209</v>
      </c>
      <c r="D3" s="7" t="s">
        <v>73</v>
      </c>
      <c r="J3" s="20" t="s">
        <v>47</v>
      </c>
      <c r="L3">
        <v>1200</v>
      </c>
      <c r="M3">
        <v>1600</v>
      </c>
      <c r="N3">
        <v>3000</v>
      </c>
      <c r="O3">
        <v>1500</v>
      </c>
      <c r="V3" t="s">
        <v>26</v>
      </c>
      <c r="W3" t="s">
        <v>25</v>
      </c>
      <c r="X3">
        <v>1</v>
      </c>
      <c r="Y3" t="s">
        <v>153</v>
      </c>
    </row>
    <row r="4" spans="1:26" x14ac:dyDescent="0.4">
      <c r="A4" s="12">
        <v>45733</v>
      </c>
      <c r="B4" s="17">
        <v>0.59722222222222221</v>
      </c>
      <c r="C4" s="10" t="s">
        <v>427</v>
      </c>
      <c r="D4" s="8" t="s">
        <v>396</v>
      </c>
      <c r="J4" s="20" t="s">
        <v>47</v>
      </c>
      <c r="K4">
        <v>1800</v>
      </c>
      <c r="L4">
        <v>2600</v>
      </c>
      <c r="M4">
        <v>1800</v>
      </c>
      <c r="N4">
        <v>2800</v>
      </c>
      <c r="O4">
        <v>1500</v>
      </c>
      <c r="V4" t="s">
        <v>26</v>
      </c>
      <c r="W4" t="s">
        <v>25</v>
      </c>
      <c r="X4">
        <v>3</v>
      </c>
      <c r="Y4" t="s">
        <v>635</v>
      </c>
    </row>
    <row r="5" spans="1:26" s="5" customFormat="1" x14ac:dyDescent="0.4">
      <c r="L5" s="5">
        <f t="shared" ref="L5:O5" si="0">L3/L4</f>
        <v>0.46153846153846156</v>
      </c>
      <c r="M5" s="5">
        <f t="shared" si="0"/>
        <v>0.88888888888888884</v>
      </c>
      <c r="N5" s="5">
        <f t="shared" si="0"/>
        <v>1.0714285714285714</v>
      </c>
      <c r="O5" s="5">
        <f t="shared" si="0"/>
        <v>1</v>
      </c>
    </row>
    <row r="6" spans="1:26" x14ac:dyDescent="0.4">
      <c r="A6" s="12">
        <v>45820.854861111111</v>
      </c>
      <c r="B6" s="10">
        <v>0.85486111111111107</v>
      </c>
      <c r="C6" s="10" t="s">
        <v>210</v>
      </c>
      <c r="D6" s="7" t="s">
        <v>74</v>
      </c>
      <c r="J6" s="20" t="s">
        <v>24</v>
      </c>
      <c r="K6">
        <v>1500</v>
      </c>
      <c r="L6">
        <v>1100</v>
      </c>
      <c r="M6">
        <v>1000</v>
      </c>
      <c r="N6">
        <v>2000</v>
      </c>
      <c r="P6">
        <v>1411</v>
      </c>
      <c r="V6" t="s">
        <v>26</v>
      </c>
      <c r="W6" t="s">
        <v>25</v>
      </c>
      <c r="X6">
        <v>1</v>
      </c>
      <c r="Y6" t="s">
        <v>154</v>
      </c>
    </row>
    <row r="7" spans="1:26" x14ac:dyDescent="0.4">
      <c r="A7" s="12">
        <v>45733</v>
      </c>
      <c r="B7" s="17">
        <v>0.59444444444444444</v>
      </c>
      <c r="C7" s="10" t="s">
        <v>425</v>
      </c>
      <c r="D7" s="8" t="s">
        <v>394</v>
      </c>
      <c r="J7" s="20" t="s">
        <v>24</v>
      </c>
      <c r="K7">
        <v>1800</v>
      </c>
      <c r="L7">
        <v>800</v>
      </c>
      <c r="M7">
        <v>1800</v>
      </c>
      <c r="P7">
        <v>1511</v>
      </c>
      <c r="V7" t="s">
        <v>26</v>
      </c>
      <c r="W7" t="s">
        <v>25</v>
      </c>
      <c r="X7">
        <v>3</v>
      </c>
      <c r="Y7" t="s">
        <v>637</v>
      </c>
    </row>
    <row r="8" spans="1:26" s="5" customFormat="1" x14ac:dyDescent="0.4">
      <c r="K8" s="5">
        <f t="shared" ref="K8:M8" si="1">K6/K7</f>
        <v>0.83333333333333337</v>
      </c>
      <c r="L8" s="5">
        <f t="shared" si="1"/>
        <v>1.375</v>
      </c>
      <c r="M8" s="5">
        <f t="shared" si="1"/>
        <v>0.55555555555555558</v>
      </c>
      <c r="P8" s="5">
        <f t="shared" ref="P8" si="2">P6/P7</f>
        <v>0.93381866313699535</v>
      </c>
    </row>
    <row r="9" spans="1:26" x14ac:dyDescent="0.4">
      <c r="A9" s="12">
        <v>45820.773611111108</v>
      </c>
      <c r="B9" s="10">
        <v>0.77361111111111114</v>
      </c>
      <c r="C9" s="10" t="s">
        <v>194</v>
      </c>
      <c r="D9" s="7" t="s">
        <v>59</v>
      </c>
      <c r="J9" s="20" t="s">
        <v>60</v>
      </c>
      <c r="K9">
        <v>1290</v>
      </c>
      <c r="L9">
        <v>870</v>
      </c>
      <c r="M9">
        <v>1080</v>
      </c>
      <c r="N9">
        <v>1050</v>
      </c>
      <c r="O9">
        <v>1629</v>
      </c>
      <c r="P9">
        <v>1845</v>
      </c>
      <c r="Q9">
        <v>5315</v>
      </c>
      <c r="V9" t="s">
        <v>25</v>
      </c>
      <c r="W9" t="s">
        <v>25</v>
      </c>
      <c r="X9">
        <v>1</v>
      </c>
      <c r="Y9" t="s">
        <v>143</v>
      </c>
    </row>
    <row r="10" spans="1:26" x14ac:dyDescent="0.4">
      <c r="A10" s="12">
        <v>45733</v>
      </c>
      <c r="B10" s="17">
        <v>0.66597222222222219</v>
      </c>
      <c r="C10" s="10" t="s">
        <v>446</v>
      </c>
      <c r="D10" s="8" t="s">
        <v>415</v>
      </c>
      <c r="J10" s="20" t="s">
        <v>60</v>
      </c>
      <c r="K10">
        <v>1820</v>
      </c>
      <c r="L10">
        <v>950</v>
      </c>
      <c r="M10">
        <v>1400</v>
      </c>
      <c r="N10">
        <v>1679</v>
      </c>
      <c r="O10">
        <v>1399</v>
      </c>
      <c r="P10">
        <v>1390</v>
      </c>
      <c r="Q10">
        <v>16999</v>
      </c>
      <c r="V10" t="s">
        <v>25</v>
      </c>
      <c r="W10" t="s">
        <v>25</v>
      </c>
      <c r="X10">
        <v>3</v>
      </c>
      <c r="Y10" t="s">
        <v>656</v>
      </c>
    </row>
    <row r="11" spans="1:26" s="5" customFormat="1" x14ac:dyDescent="0.4">
      <c r="K11" s="5">
        <f t="shared" ref="K11:Q11" si="3">K9/K10</f>
        <v>0.70879120879120883</v>
      </c>
      <c r="L11" s="5">
        <f t="shared" si="3"/>
        <v>0.91578947368421049</v>
      </c>
      <c r="M11" s="5">
        <f t="shared" si="3"/>
        <v>0.77142857142857146</v>
      </c>
      <c r="N11" s="5">
        <f t="shared" si="3"/>
        <v>0.62537224538415725</v>
      </c>
      <c r="O11" s="5">
        <f t="shared" si="3"/>
        <v>1.1644031451036454</v>
      </c>
      <c r="P11" s="5">
        <f t="shared" si="3"/>
        <v>1.3273381294964028</v>
      </c>
      <c r="Q11" s="5">
        <f t="shared" si="3"/>
        <v>0.31266545090887699</v>
      </c>
    </row>
    <row r="12" spans="1:26" x14ac:dyDescent="0.4">
      <c r="A12" s="12">
        <v>45820.79583333333</v>
      </c>
      <c r="B12" s="10">
        <v>0.79583333333333328</v>
      </c>
      <c r="C12" s="10" t="s">
        <v>199</v>
      </c>
      <c r="D12" s="7" t="s">
        <v>64</v>
      </c>
      <c r="J12" s="20" t="s">
        <v>21</v>
      </c>
      <c r="Q12">
        <v>545</v>
      </c>
      <c r="V12" t="s">
        <v>25</v>
      </c>
      <c r="W12" t="s">
        <v>25</v>
      </c>
      <c r="X12">
        <v>1</v>
      </c>
      <c r="Y12" t="s">
        <v>146</v>
      </c>
    </row>
    <row r="13" spans="1:26" x14ac:dyDescent="0.4">
      <c r="A13" s="12">
        <v>45733</v>
      </c>
      <c r="B13" s="17">
        <v>0.65972222222222221</v>
      </c>
      <c r="C13" s="10" t="s">
        <v>444</v>
      </c>
      <c r="D13" s="8" t="s">
        <v>413</v>
      </c>
      <c r="J13" s="20" t="s">
        <v>21</v>
      </c>
      <c r="Q13">
        <v>20000</v>
      </c>
      <c r="V13" t="s">
        <v>25</v>
      </c>
      <c r="W13" t="s">
        <v>25</v>
      </c>
      <c r="X13">
        <v>3</v>
      </c>
      <c r="Y13" t="s">
        <v>655</v>
      </c>
    </row>
    <row r="14" spans="1:26" s="5" customFormat="1" x14ac:dyDescent="0.4">
      <c r="Q14" s="5">
        <f t="shared" ref="Q14" si="4">Q12/Q13</f>
        <v>2.725E-2</v>
      </c>
    </row>
    <row r="15" spans="1:26" x14ac:dyDescent="0.4">
      <c r="A15" s="12">
        <v>45820.787499999999</v>
      </c>
      <c r="B15" s="10">
        <v>0.78680555555555554</v>
      </c>
      <c r="C15" s="10" t="s">
        <v>196</v>
      </c>
      <c r="D15" s="7" t="s">
        <v>382</v>
      </c>
      <c r="J15" s="20" t="s">
        <v>61</v>
      </c>
      <c r="K15">
        <v>1950</v>
      </c>
      <c r="L15">
        <v>870</v>
      </c>
      <c r="M15">
        <v>1080</v>
      </c>
      <c r="N15">
        <v>1550</v>
      </c>
      <c r="O15">
        <v>969</v>
      </c>
      <c r="P15">
        <v>139</v>
      </c>
      <c r="Q15">
        <v>8855</v>
      </c>
      <c r="V15" t="s">
        <v>25</v>
      </c>
      <c r="W15" t="s">
        <v>25</v>
      </c>
      <c r="X15">
        <v>1</v>
      </c>
      <c r="Y15" t="s">
        <v>381</v>
      </c>
    </row>
    <row r="16" spans="1:26" x14ac:dyDescent="0.4">
      <c r="A16" s="12">
        <v>45733</v>
      </c>
      <c r="B16" s="17">
        <v>0.66041666666666665</v>
      </c>
      <c r="C16" s="10" t="s">
        <v>445</v>
      </c>
      <c r="D16" s="8" t="s">
        <v>414</v>
      </c>
      <c r="J16" s="20" t="s">
        <v>61</v>
      </c>
      <c r="K16">
        <v>1820</v>
      </c>
      <c r="L16">
        <v>950</v>
      </c>
      <c r="M16">
        <v>1350</v>
      </c>
      <c r="N16">
        <v>1760</v>
      </c>
      <c r="O16">
        <v>1499</v>
      </c>
      <c r="P16">
        <v>1540</v>
      </c>
      <c r="Q16">
        <v>19909</v>
      </c>
      <c r="V16" t="s">
        <v>25</v>
      </c>
      <c r="W16" t="s">
        <v>25</v>
      </c>
      <c r="X16">
        <v>3</v>
      </c>
      <c r="Y16" t="s">
        <v>636</v>
      </c>
    </row>
    <row r="17" spans="1:25" s="5" customFormat="1" x14ac:dyDescent="0.4">
      <c r="K17" s="5">
        <f t="shared" ref="K17:Q17" si="5">K15/K16</f>
        <v>1.0714285714285714</v>
      </c>
      <c r="L17" s="5">
        <f t="shared" si="5"/>
        <v>0.91578947368421049</v>
      </c>
      <c r="M17" s="5">
        <f t="shared" si="5"/>
        <v>0.8</v>
      </c>
      <c r="N17" s="5">
        <f t="shared" si="5"/>
        <v>0.88068181818181823</v>
      </c>
      <c r="O17" s="5">
        <f t="shared" si="5"/>
        <v>0.64643095396931283</v>
      </c>
      <c r="P17" s="5">
        <f t="shared" si="5"/>
        <v>9.0259740259740262E-2</v>
      </c>
      <c r="Q17" s="5">
        <f t="shared" si="5"/>
        <v>0.44477372042794716</v>
      </c>
    </row>
    <row r="18" spans="1:25" x14ac:dyDescent="0.4">
      <c r="A18" s="12">
        <v>45818.978472222225</v>
      </c>
      <c r="B18" s="10">
        <v>0.97847222222222219</v>
      </c>
      <c r="C18" s="10" t="s">
        <v>174</v>
      </c>
      <c r="D18" s="7" t="s">
        <v>36</v>
      </c>
      <c r="J18" s="20" t="s">
        <v>37</v>
      </c>
      <c r="K18">
        <v>1740</v>
      </c>
      <c r="L18">
        <v>790</v>
      </c>
      <c r="M18">
        <v>990</v>
      </c>
      <c r="N18">
        <v>1190</v>
      </c>
      <c r="O18">
        <v>590</v>
      </c>
      <c r="P18" s="9">
        <v>2410</v>
      </c>
      <c r="Q18">
        <v>12800</v>
      </c>
      <c r="V18" t="s">
        <v>25</v>
      </c>
      <c r="W18" t="s">
        <v>25</v>
      </c>
      <c r="X18">
        <v>1</v>
      </c>
      <c r="Y18" t="s">
        <v>125</v>
      </c>
    </row>
    <row r="19" spans="1:25" x14ac:dyDescent="0.4">
      <c r="A19" s="12">
        <v>45733</v>
      </c>
      <c r="B19" s="17">
        <v>0.74444444444444446</v>
      </c>
      <c r="C19" s="10" t="s">
        <v>455</v>
      </c>
      <c r="D19" s="8" t="s">
        <v>424</v>
      </c>
      <c r="J19" s="20" t="s">
        <v>37</v>
      </c>
      <c r="K19">
        <v>1290</v>
      </c>
      <c r="L19">
        <v>945</v>
      </c>
      <c r="M19">
        <v>1090</v>
      </c>
      <c r="N19">
        <v>1225</v>
      </c>
      <c r="O19">
        <v>890</v>
      </c>
      <c r="P19">
        <f>3895/2</f>
        <v>1947.5</v>
      </c>
      <c r="Q19">
        <v>15600</v>
      </c>
      <c r="V19" t="s">
        <v>25</v>
      </c>
      <c r="W19" t="s">
        <v>25</v>
      </c>
      <c r="X19">
        <v>3</v>
      </c>
      <c r="Y19" t="s">
        <v>665</v>
      </c>
    </row>
    <row r="20" spans="1:25" s="5" customFormat="1" x14ac:dyDescent="0.4">
      <c r="K20" s="5">
        <f t="shared" ref="K20:Q20" si="6">K18/K19</f>
        <v>1.3488372093023255</v>
      </c>
      <c r="L20" s="5">
        <f t="shared" si="6"/>
        <v>0.83597883597883593</v>
      </c>
      <c r="M20" s="5">
        <f t="shared" si="6"/>
        <v>0.90825688073394495</v>
      </c>
      <c r="N20" s="5">
        <f t="shared" si="6"/>
        <v>0.97142857142857142</v>
      </c>
      <c r="O20" s="5">
        <f t="shared" si="6"/>
        <v>0.6629213483146067</v>
      </c>
      <c r="P20" s="5">
        <f t="shared" si="6"/>
        <v>1.2374839537869062</v>
      </c>
      <c r="Q20" s="5">
        <f t="shared" si="6"/>
        <v>0.82051282051282048</v>
      </c>
    </row>
    <row r="21" spans="1:25" x14ac:dyDescent="0.4">
      <c r="A21" s="12">
        <v>46002</v>
      </c>
      <c r="B21" s="17">
        <v>0.79027777777777775</v>
      </c>
      <c r="C21" s="10" t="s">
        <v>353</v>
      </c>
      <c r="D21" s="8" t="s">
        <v>282</v>
      </c>
      <c r="J21" s="20" t="s">
        <v>20</v>
      </c>
      <c r="K21">
        <v>1190</v>
      </c>
      <c r="L21">
        <v>975</v>
      </c>
      <c r="M21">
        <v>999</v>
      </c>
      <c r="N21">
        <v>1190</v>
      </c>
      <c r="O21">
        <v>1500</v>
      </c>
      <c r="P21">
        <f>3300/3*2</f>
        <v>2200</v>
      </c>
      <c r="Q21">
        <v>13990</v>
      </c>
      <c r="V21" t="s">
        <v>25</v>
      </c>
      <c r="W21" t="s">
        <v>25</v>
      </c>
      <c r="X21">
        <v>2</v>
      </c>
      <c r="Y21" t="s">
        <v>323</v>
      </c>
    </row>
    <row r="22" spans="1:25" x14ac:dyDescent="0.4">
      <c r="A22" s="12">
        <v>45733</v>
      </c>
      <c r="B22" s="17">
        <v>0.61388888888888893</v>
      </c>
      <c r="C22" s="10" t="s">
        <v>432</v>
      </c>
      <c r="D22" s="8" t="s">
        <v>401</v>
      </c>
      <c r="J22" s="20" t="s">
        <v>20</v>
      </c>
      <c r="K22">
        <v>1190</v>
      </c>
      <c r="L22">
        <v>789</v>
      </c>
      <c r="M22">
        <v>1190</v>
      </c>
      <c r="N22">
        <v>1280</v>
      </c>
      <c r="O22">
        <v>2290</v>
      </c>
      <c r="P22">
        <v>2267</v>
      </c>
      <c r="Q22">
        <v>20500</v>
      </c>
      <c r="V22" t="s">
        <v>25</v>
      </c>
      <c r="W22" t="s">
        <v>25</v>
      </c>
      <c r="X22">
        <v>3</v>
      </c>
      <c r="Y22" t="s">
        <v>643</v>
      </c>
    </row>
    <row r="23" spans="1:25" s="5" customFormat="1" x14ac:dyDescent="0.4">
      <c r="K23" s="5">
        <f t="shared" ref="K23:Q23" si="7">K21/K22</f>
        <v>1</v>
      </c>
      <c r="L23" s="5">
        <f t="shared" si="7"/>
        <v>1.2357414448669202</v>
      </c>
      <c r="M23" s="5">
        <f t="shared" si="7"/>
        <v>0.83949579831932775</v>
      </c>
      <c r="N23" s="5">
        <f t="shared" si="7"/>
        <v>0.9296875</v>
      </c>
      <c r="O23" s="5">
        <f t="shared" si="7"/>
        <v>0.65502183406113534</v>
      </c>
      <c r="P23" s="5">
        <f t="shared" si="7"/>
        <v>0.97044552271724749</v>
      </c>
      <c r="Q23" s="5">
        <f t="shared" si="7"/>
        <v>0.68243902439024395</v>
      </c>
    </row>
    <row r="24" spans="1:25" x14ac:dyDescent="0.4">
      <c r="A24" s="12">
        <v>45820.852777777778</v>
      </c>
      <c r="B24" s="10">
        <v>0.85277777777777775</v>
      </c>
      <c r="C24" s="10" t="s">
        <v>209</v>
      </c>
      <c r="D24" s="7" t="s">
        <v>73</v>
      </c>
      <c r="J24" s="20" t="s">
        <v>47</v>
      </c>
      <c r="L24">
        <v>1200</v>
      </c>
      <c r="M24">
        <v>1600</v>
      </c>
      <c r="N24">
        <v>3000</v>
      </c>
      <c r="O24">
        <v>1500</v>
      </c>
      <c r="V24" t="s">
        <v>26</v>
      </c>
      <c r="W24" t="s">
        <v>25</v>
      </c>
      <c r="X24">
        <v>1</v>
      </c>
      <c r="Y24" t="s">
        <v>153</v>
      </c>
    </row>
    <row r="25" spans="1:25" x14ac:dyDescent="0.4">
      <c r="A25" s="12">
        <v>45733</v>
      </c>
      <c r="B25" s="17">
        <v>0.59722222222222221</v>
      </c>
      <c r="C25" s="10" t="s">
        <v>427</v>
      </c>
      <c r="D25" s="8" t="s">
        <v>396</v>
      </c>
      <c r="J25" s="20" t="s">
        <v>47</v>
      </c>
      <c r="K25">
        <v>1800</v>
      </c>
      <c r="L25">
        <v>2600</v>
      </c>
      <c r="M25">
        <v>1800</v>
      </c>
      <c r="N25">
        <v>2800</v>
      </c>
      <c r="O25">
        <v>1500</v>
      </c>
      <c r="V25" t="s">
        <v>26</v>
      </c>
      <c r="W25" t="s">
        <v>25</v>
      </c>
      <c r="X25">
        <v>3</v>
      </c>
      <c r="Y25" t="s">
        <v>635</v>
      </c>
    </row>
    <row r="26" spans="1:25" s="5" customFormat="1" x14ac:dyDescent="0.4">
      <c r="L26" s="5">
        <f t="shared" ref="L26:O26" si="8">L24/L25</f>
        <v>0.46153846153846156</v>
      </c>
      <c r="M26" s="5">
        <f t="shared" si="8"/>
        <v>0.88888888888888884</v>
      </c>
      <c r="N26" s="5">
        <f t="shared" si="8"/>
        <v>1.0714285714285714</v>
      </c>
      <c r="O26" s="5">
        <f t="shared" si="8"/>
        <v>1</v>
      </c>
    </row>
    <row r="27" spans="1:25" x14ac:dyDescent="0.4">
      <c r="A27" s="12">
        <v>45820.857638888891</v>
      </c>
      <c r="B27" s="10">
        <v>0.85763888888888884</v>
      </c>
      <c r="C27" s="10" t="s">
        <v>211</v>
      </c>
      <c r="D27" s="7" t="s">
        <v>386</v>
      </c>
      <c r="J27" s="20" t="s">
        <v>35</v>
      </c>
      <c r="O27">
        <v>1000</v>
      </c>
      <c r="V27" t="s">
        <v>26</v>
      </c>
      <c r="W27" t="s">
        <v>25</v>
      </c>
      <c r="X27">
        <v>1</v>
      </c>
      <c r="Y27" t="s">
        <v>385</v>
      </c>
    </row>
    <row r="28" spans="1:25" x14ac:dyDescent="0.4">
      <c r="A28" s="12">
        <v>45733</v>
      </c>
      <c r="B28" s="17">
        <v>0.59375</v>
      </c>
      <c r="C28" s="10" t="s">
        <v>393</v>
      </c>
      <c r="D28" s="8" t="s">
        <v>392</v>
      </c>
      <c r="J28" s="20" t="s">
        <v>35</v>
      </c>
      <c r="O28">
        <v>2000</v>
      </c>
      <c r="V28" t="s">
        <v>26</v>
      </c>
      <c r="W28" t="s">
        <v>25</v>
      </c>
      <c r="X28">
        <v>3</v>
      </c>
      <c r="Y28" t="s">
        <v>634</v>
      </c>
    </row>
    <row r="29" spans="1:25" s="5" customFormat="1" x14ac:dyDescent="0.4">
      <c r="O29" s="5">
        <f t="shared" ref="O29" si="9">O27/O28</f>
        <v>0.5</v>
      </c>
    </row>
    <row r="30" spans="1:25" x14ac:dyDescent="0.4">
      <c r="L30" t="s">
        <v>810</v>
      </c>
      <c r="P30">
        <f>MEDIAN(Q30:Q71)</f>
        <v>0.88478535353535359</v>
      </c>
      <c r="Q30" cm="1">
        <f t="array" ref="Q30:Q33">TRANSPOSE(L5:O5)</f>
        <v>0.46153846153846156</v>
      </c>
    </row>
    <row r="31" spans="1:25" x14ac:dyDescent="0.4">
      <c r="Q31">
        <v>0.88888888888888884</v>
      </c>
    </row>
    <row r="32" spans="1:25" x14ac:dyDescent="0.4">
      <c r="Q32">
        <v>1.0714285714285714</v>
      </c>
    </row>
    <row r="33" spans="17:17" x14ac:dyDescent="0.4">
      <c r="Q33">
        <v>1</v>
      </c>
    </row>
    <row r="34" spans="17:17" x14ac:dyDescent="0.4">
      <c r="Q34" cm="1">
        <f t="array" ref="Q34:Q36">TRANSPOSE(K8:M8)</f>
        <v>0.83333333333333337</v>
      </c>
    </row>
    <row r="35" spans="17:17" x14ac:dyDescent="0.4">
      <c r="Q35">
        <v>1.375</v>
      </c>
    </row>
    <row r="36" spans="17:17" x14ac:dyDescent="0.4">
      <c r="Q36">
        <v>0.55555555555555558</v>
      </c>
    </row>
    <row r="37" spans="17:17" x14ac:dyDescent="0.4">
      <c r="Q37">
        <f>P8</f>
        <v>0.93381866313699535</v>
      </c>
    </row>
    <row r="38" spans="17:17" x14ac:dyDescent="0.4">
      <c r="Q38" cm="1">
        <f t="array" ref="Q38:Q44">TRANSPOSE(K11:Q11)</f>
        <v>0.70879120879120883</v>
      </c>
    </row>
    <row r="39" spans="17:17" x14ac:dyDescent="0.4">
      <c r="Q39">
        <v>0.91578947368421049</v>
      </c>
    </row>
    <row r="40" spans="17:17" x14ac:dyDescent="0.4">
      <c r="Q40">
        <v>0.77142857142857146</v>
      </c>
    </row>
    <row r="41" spans="17:17" x14ac:dyDescent="0.4">
      <c r="Q41">
        <v>0.62537224538415725</v>
      </c>
    </row>
    <row r="42" spans="17:17" x14ac:dyDescent="0.4">
      <c r="Q42">
        <v>1.1644031451036454</v>
      </c>
    </row>
    <row r="43" spans="17:17" x14ac:dyDescent="0.4">
      <c r="Q43">
        <v>1.3273381294964028</v>
      </c>
    </row>
    <row r="44" spans="17:17" x14ac:dyDescent="0.4">
      <c r="Q44">
        <v>0.31266545090887699</v>
      </c>
    </row>
    <row r="45" spans="17:17" x14ac:dyDescent="0.4">
      <c r="Q45">
        <f>Q14</f>
        <v>2.725E-2</v>
      </c>
    </row>
    <row r="46" spans="17:17" x14ac:dyDescent="0.4">
      <c r="Q46" cm="1">
        <f t="array" ref="Q46:Q52">TRANSPOSE(K17:Q17)</f>
        <v>1.0714285714285714</v>
      </c>
    </row>
    <row r="47" spans="17:17" x14ac:dyDescent="0.4">
      <c r="Q47">
        <v>0.91578947368421049</v>
      </c>
    </row>
    <row r="48" spans="17:17" x14ac:dyDescent="0.4">
      <c r="Q48">
        <v>0.8</v>
      </c>
    </row>
    <row r="49" spans="17:17" x14ac:dyDescent="0.4">
      <c r="Q49">
        <v>0.88068181818181823</v>
      </c>
    </row>
    <row r="50" spans="17:17" x14ac:dyDescent="0.4">
      <c r="Q50">
        <v>0.64643095396931283</v>
      </c>
    </row>
    <row r="51" spans="17:17" x14ac:dyDescent="0.4">
      <c r="Q51">
        <v>9.0259740259740262E-2</v>
      </c>
    </row>
    <row r="52" spans="17:17" x14ac:dyDescent="0.4">
      <c r="Q52">
        <v>0.44477372042794716</v>
      </c>
    </row>
    <row r="53" spans="17:17" x14ac:dyDescent="0.4">
      <c r="Q53" cm="1">
        <f t="array" ref="Q53:Q59">TRANSPOSE(K20:Q20)</f>
        <v>1.3488372093023255</v>
      </c>
    </row>
    <row r="54" spans="17:17" x14ac:dyDescent="0.4">
      <c r="Q54">
        <v>0.83597883597883593</v>
      </c>
    </row>
    <row r="55" spans="17:17" x14ac:dyDescent="0.4">
      <c r="Q55">
        <v>0.90825688073394495</v>
      </c>
    </row>
    <row r="56" spans="17:17" x14ac:dyDescent="0.4">
      <c r="Q56">
        <v>0.97142857142857142</v>
      </c>
    </row>
    <row r="57" spans="17:17" x14ac:dyDescent="0.4">
      <c r="Q57">
        <v>0.6629213483146067</v>
      </c>
    </row>
    <row r="58" spans="17:17" x14ac:dyDescent="0.4">
      <c r="Q58">
        <v>1.2374839537869062</v>
      </c>
    </row>
    <row r="59" spans="17:17" x14ac:dyDescent="0.4">
      <c r="Q59">
        <v>0.82051282051282048</v>
      </c>
    </row>
    <row r="60" spans="17:17" x14ac:dyDescent="0.4">
      <c r="Q60" cm="1">
        <f t="array" ref="Q60:Q66">TRANSPOSE(K23:Q23)</f>
        <v>1</v>
      </c>
    </row>
    <row r="61" spans="17:17" x14ac:dyDescent="0.4">
      <c r="Q61">
        <v>1.2357414448669202</v>
      </c>
    </row>
    <row r="62" spans="17:17" x14ac:dyDescent="0.4">
      <c r="Q62">
        <v>0.83949579831932775</v>
      </c>
    </row>
    <row r="63" spans="17:17" x14ac:dyDescent="0.4">
      <c r="Q63">
        <v>0.9296875</v>
      </c>
    </row>
    <row r="64" spans="17:17" x14ac:dyDescent="0.4">
      <c r="Q64">
        <v>0.65502183406113534</v>
      </c>
    </row>
    <row r="65" spans="17:17" x14ac:dyDescent="0.4">
      <c r="Q65">
        <v>0.97044552271724749</v>
      </c>
    </row>
    <row r="66" spans="17:17" x14ac:dyDescent="0.4">
      <c r="Q66">
        <v>0.68243902439024395</v>
      </c>
    </row>
    <row r="67" spans="17:17" x14ac:dyDescent="0.4">
      <c r="Q67" cm="1">
        <f t="array" ref="Q67:Q70">TRANSPOSE(L26:O26)</f>
        <v>0.46153846153846156</v>
      </c>
    </row>
    <row r="68" spans="17:17" x14ac:dyDescent="0.4">
      <c r="Q68">
        <v>0.88888888888888884</v>
      </c>
    </row>
    <row r="69" spans="17:17" x14ac:dyDescent="0.4">
      <c r="Q69">
        <v>1.0714285714285714</v>
      </c>
    </row>
    <row r="70" spans="17:17" x14ac:dyDescent="0.4">
      <c r="Q70">
        <v>1</v>
      </c>
    </row>
    <row r="71" spans="17:17" x14ac:dyDescent="0.4">
      <c r="Q71">
        <f>O29</f>
        <v>0.5</v>
      </c>
    </row>
  </sheetData>
  <hyperlinks>
    <hyperlink ref="D3" r:id="rId1" xr:uid="{051C378D-7DB2-431B-B624-347A0AE5BDF0}"/>
    <hyperlink ref="D6" r:id="rId2" xr:uid="{815B54CA-41A8-4724-8F22-A1F872AF48EF}"/>
    <hyperlink ref="D9" r:id="rId3" xr:uid="{D6D43DF0-4BA6-4979-B4E5-AF93D3FF809A}"/>
    <hyperlink ref="D12" r:id="rId4" xr:uid="{F17AEA1F-207E-40D5-9A80-EBF54EA98386}"/>
    <hyperlink ref="D18" r:id="rId5" xr:uid="{CA0135AB-05F2-4F57-ABD0-317F798CCB9B}"/>
    <hyperlink ref="D24" r:id="rId6" xr:uid="{19DB75B0-5E33-4BFE-9E5B-105C6FC0BC8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859126-499E-49AD-9BA8-D88CDC52E87B}">
          <x14:formula1>
            <xm:f>Hoja2!$A$1:$A$14</xm:f>
          </x14:formula1>
          <xm:sqref>J3:J4 J6:J7 J9:J10 J21:J22 J12:J13 J15:J16 J18:J19 J24:J25 J27:J28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83F1-29EC-43B3-8ACA-2F936131DCF2}">
  <dimension ref="A1:Z49"/>
  <sheetViews>
    <sheetView topLeftCell="A6" workbookViewId="0">
      <selection activeCell="O4" sqref="O4"/>
    </sheetView>
  </sheetViews>
  <sheetFormatPr baseColWidth="10" defaultRowHeight="14.6" x14ac:dyDescent="0.4"/>
  <cols>
    <col min="5" max="9" width="5.84375" customWidth="1"/>
    <col min="10" max="10" width="16.53515625" customWidth="1"/>
    <col min="11" max="24" width="5.84375" customWidth="1"/>
  </cols>
  <sheetData>
    <row r="1" spans="1:26" s="4" customFormat="1" ht="40.5" customHeight="1" x14ac:dyDescent="0.4">
      <c r="A1" s="13" t="s">
        <v>99</v>
      </c>
      <c r="B1" s="11" t="s">
        <v>53</v>
      </c>
      <c r="C1" s="11" t="s">
        <v>240</v>
      </c>
      <c r="D1" s="6" t="s">
        <v>18</v>
      </c>
      <c r="E1" s="1" t="s">
        <v>241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243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2" t="s">
        <v>11</v>
      </c>
      <c r="S1" s="2" t="s">
        <v>12</v>
      </c>
      <c r="T1" s="2" t="s">
        <v>13</v>
      </c>
      <c r="U1" s="2" t="s">
        <v>14</v>
      </c>
      <c r="V1" s="2" t="s">
        <v>244</v>
      </c>
      <c r="W1" s="3" t="s">
        <v>15</v>
      </c>
      <c r="X1" s="3" t="s">
        <v>259</v>
      </c>
      <c r="Y1" s="3" t="s">
        <v>237</v>
      </c>
      <c r="Z1" s="3" t="s">
        <v>16</v>
      </c>
    </row>
    <row r="2" spans="1:26" x14ac:dyDescent="0.4">
      <c r="A2" s="12">
        <v>45820.750694444447</v>
      </c>
      <c r="B2" s="10">
        <v>0.75069444444444444</v>
      </c>
      <c r="C2" s="10" t="s">
        <v>190</v>
      </c>
      <c r="D2" s="7" t="s">
        <v>55</v>
      </c>
      <c r="J2" t="s">
        <v>35</v>
      </c>
      <c r="O2">
        <v>1333</v>
      </c>
      <c r="V2" t="s">
        <v>26</v>
      </c>
      <c r="W2" t="s">
        <v>25</v>
      </c>
      <c r="X2">
        <v>1</v>
      </c>
      <c r="Y2" t="s">
        <v>140</v>
      </c>
    </row>
    <row r="3" spans="1:26" x14ac:dyDescent="0.4">
      <c r="A3" s="19">
        <v>46002</v>
      </c>
      <c r="B3" s="17">
        <v>0.80138888888888893</v>
      </c>
      <c r="C3" s="10" t="s">
        <v>355</v>
      </c>
      <c r="D3" s="8" t="s">
        <v>286</v>
      </c>
      <c r="J3" t="s">
        <v>35</v>
      </c>
      <c r="O3">
        <v>2000</v>
      </c>
      <c r="V3" t="s">
        <v>26</v>
      </c>
      <c r="W3" t="s">
        <v>25</v>
      </c>
      <c r="X3">
        <v>2</v>
      </c>
      <c r="Y3" t="s">
        <v>325</v>
      </c>
    </row>
    <row r="4" spans="1:26" s="5" customFormat="1" x14ac:dyDescent="0.4">
      <c r="O4" s="5">
        <f>O2/O3</f>
        <v>0.66649999999999998</v>
      </c>
    </row>
    <row r="5" spans="1:26" x14ac:dyDescent="0.4">
      <c r="A5" s="12">
        <v>45820.745833333334</v>
      </c>
      <c r="B5" s="10">
        <v>0.74583333333333335</v>
      </c>
      <c r="C5" s="10" t="s">
        <v>189</v>
      </c>
      <c r="D5" s="7" t="s">
        <v>54</v>
      </c>
      <c r="J5" t="s">
        <v>24</v>
      </c>
      <c r="K5">
        <v>1400</v>
      </c>
      <c r="L5">
        <v>2000</v>
      </c>
      <c r="M5">
        <v>2000</v>
      </c>
      <c r="N5">
        <v>4000</v>
      </c>
      <c r="P5">
        <v>2136</v>
      </c>
      <c r="V5" t="s">
        <v>26</v>
      </c>
      <c r="W5" t="s">
        <v>25</v>
      </c>
      <c r="X5">
        <v>1</v>
      </c>
      <c r="Y5" t="s">
        <v>139</v>
      </c>
    </row>
    <row r="6" spans="1:26" x14ac:dyDescent="0.4">
      <c r="A6" s="19">
        <v>46002</v>
      </c>
      <c r="B6" s="17">
        <v>0.77638888888888891</v>
      </c>
      <c r="C6" s="10" t="s">
        <v>349</v>
      </c>
      <c r="D6" s="8" t="s">
        <v>274</v>
      </c>
      <c r="J6" t="s">
        <v>24</v>
      </c>
      <c r="K6">
        <v>2300</v>
      </c>
      <c r="L6">
        <v>2300</v>
      </c>
      <c r="M6">
        <v>2000</v>
      </c>
      <c r="N6">
        <v>5000</v>
      </c>
      <c r="P6">
        <f>23000/10</f>
        <v>2300</v>
      </c>
      <c r="V6" t="s">
        <v>26</v>
      </c>
      <c r="W6" t="s">
        <v>25</v>
      </c>
      <c r="X6">
        <v>2</v>
      </c>
      <c r="Y6" t="s">
        <v>319</v>
      </c>
    </row>
    <row r="7" spans="1:26" s="5" customFormat="1" x14ac:dyDescent="0.4">
      <c r="K7" s="5">
        <f>K5/K6</f>
        <v>0.60869565217391308</v>
      </c>
      <c r="L7" s="5">
        <f t="shared" ref="L7:P7" si="0">L5/L6</f>
        <v>0.86956521739130432</v>
      </c>
      <c r="M7" s="5">
        <f t="shared" si="0"/>
        <v>1</v>
      </c>
      <c r="N7" s="5">
        <f t="shared" si="0"/>
        <v>0.8</v>
      </c>
      <c r="P7" s="5">
        <f t="shared" si="0"/>
        <v>0.92869565217391303</v>
      </c>
    </row>
    <row r="8" spans="1:26" x14ac:dyDescent="0.4">
      <c r="A8">
        <v>45820.912499999999</v>
      </c>
      <c r="B8">
        <v>0.91249999999999998</v>
      </c>
      <c r="C8" t="s">
        <v>231</v>
      </c>
      <c r="D8" t="s">
        <v>94</v>
      </c>
      <c r="J8" t="s">
        <v>66</v>
      </c>
      <c r="P8">
        <v>725</v>
      </c>
      <c r="V8" t="s">
        <v>26</v>
      </c>
      <c r="W8" t="s">
        <v>25</v>
      </c>
      <c r="X8">
        <v>1</v>
      </c>
      <c r="Y8" t="s">
        <v>111</v>
      </c>
    </row>
    <row r="9" spans="1:26" x14ac:dyDescent="0.4">
      <c r="A9" s="19">
        <v>46002</v>
      </c>
      <c r="B9" s="17">
        <v>0.78472222222222221</v>
      </c>
      <c r="C9" s="10" t="s">
        <v>351</v>
      </c>
      <c r="D9" s="8" t="s">
        <v>278</v>
      </c>
      <c r="J9" t="s">
        <v>66</v>
      </c>
      <c r="P9">
        <f>1500/2</f>
        <v>750</v>
      </c>
      <c r="V9" t="s">
        <v>26</v>
      </c>
      <c r="W9" t="s">
        <v>25</v>
      </c>
      <c r="X9">
        <v>2</v>
      </c>
      <c r="Y9" t="s">
        <v>321</v>
      </c>
    </row>
    <row r="10" spans="1:26" s="5" customFormat="1" x14ac:dyDescent="0.4">
      <c r="P10" s="5">
        <f t="shared" ref="P10" si="1">P8/P9</f>
        <v>0.96666666666666667</v>
      </c>
    </row>
    <row r="11" spans="1:26" x14ac:dyDescent="0.4">
      <c r="A11" s="12">
        <v>45820.759722222225</v>
      </c>
      <c r="B11" s="10">
        <v>0.75972222222222219</v>
      </c>
      <c r="C11" s="10" t="s">
        <v>192</v>
      </c>
      <c r="D11" s="7" t="s">
        <v>57</v>
      </c>
      <c r="J11" t="s">
        <v>58</v>
      </c>
      <c r="K11">
        <v>2100</v>
      </c>
      <c r="L11">
        <v>1200</v>
      </c>
      <c r="M11">
        <v>2000</v>
      </c>
      <c r="N11">
        <v>5200</v>
      </c>
      <c r="U11" t="s">
        <v>242</v>
      </c>
      <c r="V11" t="s">
        <v>26</v>
      </c>
      <c r="W11" t="s">
        <v>25</v>
      </c>
      <c r="X11">
        <v>1</v>
      </c>
      <c r="Y11" t="s">
        <v>142</v>
      </c>
    </row>
    <row r="12" spans="1:26" x14ac:dyDescent="0.4">
      <c r="A12" s="19">
        <v>46002</v>
      </c>
      <c r="B12" s="17">
        <v>0.75</v>
      </c>
      <c r="C12" s="10" t="s">
        <v>346</v>
      </c>
      <c r="D12" s="8" t="s">
        <v>268</v>
      </c>
      <c r="J12" t="s">
        <v>47</v>
      </c>
      <c r="K12">
        <v>2900</v>
      </c>
      <c r="L12">
        <v>1300</v>
      </c>
      <c r="M12">
        <v>2000</v>
      </c>
      <c r="N12">
        <v>5200</v>
      </c>
      <c r="V12" t="s">
        <v>26</v>
      </c>
      <c r="W12" t="s">
        <v>25</v>
      </c>
      <c r="X12">
        <v>2</v>
      </c>
      <c r="Y12" t="s">
        <v>316</v>
      </c>
    </row>
    <row r="13" spans="1:26" s="5" customFormat="1" x14ac:dyDescent="0.4">
      <c r="K13" s="5">
        <f t="shared" ref="K13" si="2">K11/K12</f>
        <v>0.72413793103448276</v>
      </c>
      <c r="L13" s="5">
        <f t="shared" ref="L13" si="3">L11/L12</f>
        <v>0.92307692307692313</v>
      </c>
      <c r="M13" s="5">
        <f t="shared" ref="M13" si="4">M11/M12</f>
        <v>1</v>
      </c>
      <c r="N13" s="5">
        <f t="shared" ref="N13" si="5">N11/N12</f>
        <v>1</v>
      </c>
    </row>
    <row r="14" spans="1:26" x14ac:dyDescent="0.4">
      <c r="A14" s="12">
        <v>45820.910416666666</v>
      </c>
      <c r="B14" s="10">
        <v>0.91041666666666665</v>
      </c>
      <c r="C14" s="10" t="s">
        <v>230</v>
      </c>
      <c r="D14" s="7" t="s">
        <v>93</v>
      </c>
      <c r="J14" t="s">
        <v>21</v>
      </c>
      <c r="Q14">
        <v>5450</v>
      </c>
      <c r="V14" t="s">
        <v>25</v>
      </c>
      <c r="W14" t="s">
        <v>25</v>
      </c>
      <c r="X14">
        <v>1</v>
      </c>
      <c r="Y14" t="s">
        <v>110</v>
      </c>
    </row>
    <row r="15" spans="1:26" x14ac:dyDescent="0.4">
      <c r="A15" s="19">
        <v>46002</v>
      </c>
      <c r="B15" s="17">
        <v>0.78680555555555554</v>
      </c>
      <c r="C15" s="10" t="s">
        <v>352</v>
      </c>
      <c r="D15" s="8" t="s">
        <v>280</v>
      </c>
      <c r="J15" t="s">
        <v>21</v>
      </c>
      <c r="Q15">
        <v>13900</v>
      </c>
      <c r="V15" t="s">
        <v>25</v>
      </c>
      <c r="W15" t="s">
        <v>25</v>
      </c>
      <c r="X15">
        <v>2</v>
      </c>
      <c r="Y15" t="s">
        <v>322</v>
      </c>
    </row>
    <row r="16" spans="1:26" s="5" customFormat="1" x14ac:dyDescent="0.4">
      <c r="Q16" s="5">
        <f t="shared" ref="Q16" si="6">Q14/Q15</f>
        <v>0.3920863309352518</v>
      </c>
    </row>
    <row r="17" spans="1:25" x14ac:dyDescent="0.4">
      <c r="A17" s="12">
        <v>45820.92291666667</v>
      </c>
      <c r="B17" s="10">
        <v>0.92291666666666672</v>
      </c>
      <c r="C17" s="10" t="s">
        <v>232</v>
      </c>
      <c r="D17" s="7" t="s">
        <v>95</v>
      </c>
      <c r="J17" t="s">
        <v>47</v>
      </c>
      <c r="K17">
        <v>1600</v>
      </c>
      <c r="L17">
        <v>1381</v>
      </c>
      <c r="M17">
        <v>1350</v>
      </c>
      <c r="N17">
        <v>1400</v>
      </c>
      <c r="P17">
        <v>1399</v>
      </c>
      <c r="V17" t="s">
        <v>26</v>
      </c>
      <c r="W17" t="s">
        <v>25</v>
      </c>
      <c r="X17">
        <v>1</v>
      </c>
      <c r="Y17" t="s">
        <v>112</v>
      </c>
    </row>
    <row r="18" spans="1:25" x14ac:dyDescent="0.4">
      <c r="A18" s="19">
        <v>46002</v>
      </c>
      <c r="B18" s="17">
        <v>0.71527777777777779</v>
      </c>
      <c r="C18" s="10" t="s">
        <v>340</v>
      </c>
      <c r="D18" s="8" t="s">
        <v>255</v>
      </c>
      <c r="J18" t="s">
        <v>24</v>
      </c>
      <c r="K18">
        <v>1600</v>
      </c>
      <c r="L18">
        <v>1050</v>
      </c>
      <c r="M18">
        <v>1550</v>
      </c>
      <c r="N18">
        <v>1600</v>
      </c>
      <c r="P18">
        <f>14000/10</f>
        <v>1400</v>
      </c>
      <c r="V18" t="s">
        <v>26</v>
      </c>
      <c r="W18" t="s">
        <v>25</v>
      </c>
      <c r="X18">
        <v>2</v>
      </c>
      <c r="Y18" t="s">
        <v>310</v>
      </c>
    </row>
    <row r="19" spans="1:25" s="5" customFormat="1" x14ac:dyDescent="0.4">
      <c r="K19" s="5">
        <f t="shared" ref="K19" si="7">K17/K18</f>
        <v>1</v>
      </c>
      <c r="L19" s="5">
        <f t="shared" ref="L19" si="8">L17/L18</f>
        <v>1.3152380952380953</v>
      </c>
      <c r="M19" s="5">
        <f t="shared" ref="M19" si="9">M17/M18</f>
        <v>0.87096774193548387</v>
      </c>
      <c r="N19" s="5">
        <f t="shared" ref="N19" si="10">N17/N18</f>
        <v>0.875</v>
      </c>
      <c r="P19" s="5">
        <f t="shared" ref="P19" si="11">P17/P18</f>
        <v>0.99928571428571433</v>
      </c>
    </row>
    <row r="20" spans="1:25" x14ac:dyDescent="0.4">
      <c r="A20" s="12">
        <v>45820.925694444442</v>
      </c>
      <c r="B20" s="10">
        <v>0.92569444444444449</v>
      </c>
      <c r="C20" s="10" t="s">
        <v>233</v>
      </c>
      <c r="D20" s="7" t="s">
        <v>96</v>
      </c>
      <c r="J20" t="s">
        <v>35</v>
      </c>
      <c r="O20">
        <v>725</v>
      </c>
      <c r="V20" t="s">
        <v>26</v>
      </c>
      <c r="W20" t="s">
        <v>25</v>
      </c>
      <c r="X20">
        <v>1</v>
      </c>
      <c r="Y20" t="s">
        <v>239</v>
      </c>
    </row>
    <row r="21" spans="1:25" x14ac:dyDescent="0.4">
      <c r="A21" s="19">
        <v>46002</v>
      </c>
      <c r="B21" s="17">
        <v>0.71319444444444446</v>
      </c>
      <c r="C21" s="10" t="s">
        <v>339</v>
      </c>
      <c r="D21" s="8" t="s">
        <v>253</v>
      </c>
      <c r="J21" t="s">
        <v>35</v>
      </c>
      <c r="O21">
        <f>1500/2</f>
        <v>750</v>
      </c>
      <c r="V21" t="s">
        <v>26</v>
      </c>
      <c r="W21" t="s">
        <v>25</v>
      </c>
      <c r="X21">
        <v>2</v>
      </c>
      <c r="Y21" t="s">
        <v>309</v>
      </c>
    </row>
    <row r="22" spans="1:25" s="5" customFormat="1" x14ac:dyDescent="0.4">
      <c r="O22" s="5">
        <f t="shared" ref="O22" si="12">O20/O21</f>
        <v>0.96666666666666667</v>
      </c>
    </row>
    <row r="23" spans="1:25" x14ac:dyDescent="0.4">
      <c r="A23" s="12">
        <v>45820.926388888889</v>
      </c>
      <c r="B23" s="10">
        <v>0.92638888888888893</v>
      </c>
      <c r="C23" s="10" t="s">
        <v>234</v>
      </c>
      <c r="D23" s="7" t="s">
        <v>97</v>
      </c>
      <c r="J23" t="s">
        <v>35</v>
      </c>
      <c r="O23">
        <v>725</v>
      </c>
      <c r="V23" t="s">
        <v>26</v>
      </c>
      <c r="W23" t="s">
        <v>25</v>
      </c>
      <c r="X23">
        <v>1</v>
      </c>
      <c r="Y23" t="s">
        <v>113</v>
      </c>
    </row>
    <row r="24" spans="1:25" x14ac:dyDescent="0.4">
      <c r="A24" s="12">
        <v>46002</v>
      </c>
      <c r="B24" s="17">
        <v>0.71180555555555558</v>
      </c>
      <c r="C24" s="10" t="s">
        <v>338</v>
      </c>
      <c r="D24" s="8" t="s">
        <v>251</v>
      </c>
      <c r="J24" t="s">
        <v>35</v>
      </c>
      <c r="O24">
        <v>1000</v>
      </c>
      <c r="V24" t="s">
        <v>26</v>
      </c>
      <c r="W24" t="s">
        <v>25</v>
      </c>
      <c r="X24">
        <v>2</v>
      </c>
      <c r="Y24" t="s">
        <v>308</v>
      </c>
    </row>
    <row r="25" spans="1:25" s="5" customFormat="1" x14ac:dyDescent="0.4">
      <c r="O25" s="5">
        <f t="shared" ref="O25" si="13">O23/O24</f>
        <v>0.72499999999999998</v>
      </c>
    </row>
    <row r="26" spans="1:25" x14ac:dyDescent="0.4">
      <c r="A26" s="12">
        <v>45820.84652777778</v>
      </c>
      <c r="B26" s="10">
        <v>0.84652777777777777</v>
      </c>
      <c r="C26" s="10" t="s">
        <v>207</v>
      </c>
      <c r="D26" s="7" t="s">
        <v>72</v>
      </c>
      <c r="J26" s="20" t="s">
        <v>35</v>
      </c>
      <c r="O26">
        <v>900</v>
      </c>
      <c r="V26" t="s">
        <v>26</v>
      </c>
      <c r="W26" t="s">
        <v>25</v>
      </c>
      <c r="X26">
        <v>1</v>
      </c>
      <c r="Y26" t="s">
        <v>152</v>
      </c>
    </row>
    <row r="27" spans="1:25" x14ac:dyDescent="0.4">
      <c r="A27" s="12">
        <v>46002</v>
      </c>
      <c r="B27" s="17">
        <v>0.84375</v>
      </c>
      <c r="C27" s="10" t="s">
        <v>362</v>
      </c>
      <c r="D27" s="8" t="s">
        <v>299</v>
      </c>
      <c r="J27" s="20" t="s">
        <v>35</v>
      </c>
      <c r="O27">
        <v>1500</v>
      </c>
      <c r="V27" t="s">
        <v>26</v>
      </c>
      <c r="W27" t="s">
        <v>25</v>
      </c>
      <c r="X27">
        <v>2</v>
      </c>
      <c r="Y27" t="s">
        <v>331</v>
      </c>
    </row>
    <row r="28" spans="1:25" s="9" customFormat="1" x14ac:dyDescent="0.4"/>
    <row r="29" spans="1:25" x14ac:dyDescent="0.4">
      <c r="A29" s="12"/>
      <c r="B29" s="10"/>
      <c r="C29" s="10"/>
      <c r="D29" s="7"/>
      <c r="J29" s="20"/>
    </row>
    <row r="30" spans="1:25" x14ac:dyDescent="0.4">
      <c r="A30" s="18" t="s">
        <v>365</v>
      </c>
    </row>
    <row r="31" spans="1:25" x14ac:dyDescent="0.4">
      <c r="L31" t="s">
        <v>366</v>
      </c>
      <c r="P31">
        <f>MEDIAN(Q31:Q49)</f>
        <v>0.92307692307692313</v>
      </c>
      <c r="Q31">
        <f>O4</f>
        <v>0.66649999999999998</v>
      </c>
    </row>
    <row r="32" spans="1:25" x14ac:dyDescent="0.4">
      <c r="Q32" cm="1">
        <f t="array" ref="Q32:Q35">TRANSPOSE(K7:N7)</f>
        <v>0.60869565217391308</v>
      </c>
    </row>
    <row r="33" spans="17:17" x14ac:dyDescent="0.4">
      <c r="Q33">
        <v>0.86956521739130432</v>
      </c>
    </row>
    <row r="34" spans="17:17" x14ac:dyDescent="0.4">
      <c r="Q34">
        <v>1</v>
      </c>
    </row>
    <row r="35" spans="17:17" x14ac:dyDescent="0.4">
      <c r="Q35">
        <v>0.8</v>
      </c>
    </row>
    <row r="36" spans="17:17" x14ac:dyDescent="0.4">
      <c r="Q36">
        <f>P7</f>
        <v>0.92869565217391303</v>
      </c>
    </row>
    <row r="37" spans="17:17" x14ac:dyDescent="0.4">
      <c r="Q37">
        <f>P10</f>
        <v>0.96666666666666667</v>
      </c>
    </row>
    <row r="38" spans="17:17" x14ac:dyDescent="0.4">
      <c r="Q38" cm="1">
        <f t="array" ref="Q38:Q41">TRANSPOSE(K13:N13)</f>
        <v>0.72413793103448276</v>
      </c>
    </row>
    <row r="39" spans="17:17" x14ac:dyDescent="0.4">
      <c r="Q39">
        <v>0.92307692307692313</v>
      </c>
    </row>
    <row r="40" spans="17:17" x14ac:dyDescent="0.4">
      <c r="Q40">
        <v>1</v>
      </c>
    </row>
    <row r="41" spans="17:17" x14ac:dyDescent="0.4">
      <c r="Q41">
        <v>1</v>
      </c>
    </row>
    <row r="42" spans="17:17" x14ac:dyDescent="0.4">
      <c r="Q42">
        <f>Q16</f>
        <v>0.3920863309352518</v>
      </c>
    </row>
    <row r="43" spans="17:17" x14ac:dyDescent="0.4">
      <c r="Q43" cm="1">
        <f t="array" ref="Q43:Q46">TRANSPOSE(K19:N19)</f>
        <v>1</v>
      </c>
    </row>
    <row r="44" spans="17:17" x14ac:dyDescent="0.4">
      <c r="Q44">
        <v>1.3152380952380953</v>
      </c>
    </row>
    <row r="45" spans="17:17" x14ac:dyDescent="0.4">
      <c r="Q45">
        <v>0.87096774193548387</v>
      </c>
    </row>
    <row r="46" spans="17:17" x14ac:dyDescent="0.4">
      <c r="Q46">
        <v>0.875</v>
      </c>
    </row>
    <row r="47" spans="17:17" x14ac:dyDescent="0.4">
      <c r="Q47">
        <f>P19</f>
        <v>0.99928571428571433</v>
      </c>
    </row>
    <row r="48" spans="17:17" x14ac:dyDescent="0.4">
      <c r="Q48">
        <f>O22</f>
        <v>0.96666666666666667</v>
      </c>
    </row>
    <row r="49" spans="17:17" x14ac:dyDescent="0.4">
      <c r="Q49">
        <f>O25</f>
        <v>0.72499999999999998</v>
      </c>
    </row>
  </sheetData>
  <hyperlinks>
    <hyperlink ref="D2" r:id="rId1" xr:uid="{960FD7B3-829F-4B2E-97C0-E3F7A6E5866D}"/>
    <hyperlink ref="D5" r:id="rId2" xr:uid="{A5C6AD7B-364E-445A-8908-44458304C738}"/>
    <hyperlink ref="D11" r:id="rId3" xr:uid="{C13CF790-95B6-4B46-A2A9-DF90B48F42A4}"/>
    <hyperlink ref="D14" r:id="rId4" xr:uid="{4C79044B-28C5-4879-94D7-82A013DCF39E}"/>
    <hyperlink ref="D17" r:id="rId5" xr:uid="{F0D187D3-A464-4835-9B9A-ABA4A71C0CFE}"/>
    <hyperlink ref="D20" r:id="rId6" xr:uid="{19C3E4CB-0F90-4FEF-94A9-F660DD038DBC}"/>
    <hyperlink ref="D23" r:id="rId7" xr:uid="{5FFC5F3D-6CFA-4EF4-B5A2-B0821EA82FDC}"/>
    <hyperlink ref="D26" r:id="rId8" xr:uid="{D954D8F3-D90F-478A-9082-C32FF6DC700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C8EE26B2-7ABB-4EDC-8C5B-25E7B697FEF8}">
          <x14:formula1>
            <xm:f>Hoja2!$A$1:$A$13</xm:f>
          </x14:formula1>
          <xm:sqref>J2:J3 J5:J6 J9 J11:J12 J14:J15 J17:J18 J20:J21 J23:J24 J26:J27</xm:sqref>
        </x14:dataValidation>
        <x14:dataValidation type="list" allowBlank="1" showInputMessage="1" showErrorMessage="1" xr:uid="{E2BED72E-EBCA-449C-B90E-1A537657412E}">
          <x14:formula1>
            <xm:f>Hoja2!$A$1:$A$14</xm:f>
          </x14:formula1>
          <xm:sqref>J29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C59-773D-4B03-928F-1A7370C1427F}">
  <dimension ref="A1:B138"/>
  <sheetViews>
    <sheetView topLeftCell="A124" workbookViewId="0">
      <selection activeCell="B67" sqref="B67:B138"/>
    </sheetView>
  </sheetViews>
  <sheetFormatPr baseColWidth="10" defaultRowHeight="14.6" x14ac:dyDescent="0.4"/>
  <cols>
    <col min="1" max="1" width="29.3828125" customWidth="1"/>
  </cols>
  <sheetData>
    <row r="1" spans="1:2" x14ac:dyDescent="0.4">
      <c r="A1" t="s">
        <v>245</v>
      </c>
    </row>
    <row r="2" spans="1:2" x14ac:dyDescent="0.4">
      <c r="A2" t="s">
        <v>305</v>
      </c>
    </row>
    <row r="3" spans="1:2" x14ac:dyDescent="0.4">
      <c r="A3" t="s">
        <v>248</v>
      </c>
      <c r="B3" t="str">
        <f>CONCATENATE("POINT(",RIGHT(A3,10), " ",LEFT(A3,10),")")</f>
        <v>POINT(-58.394119 -34.589943)</v>
      </c>
    </row>
    <row r="4" spans="1:2" x14ac:dyDescent="0.4">
      <c r="A4" t="s">
        <v>250</v>
      </c>
      <c r="B4" t="str">
        <f t="shared" ref="B4:B31" si="0">CONCATENATE("POINT(",RIGHT(A4,10), " ",LEFT(A4,10),")")</f>
        <v>POINT(-58.393669 -34.590313)</v>
      </c>
    </row>
    <row r="5" spans="1:2" x14ac:dyDescent="0.4">
      <c r="A5" t="s">
        <v>252</v>
      </c>
      <c r="B5" t="str">
        <f t="shared" si="0"/>
        <v>POINT(-58.393101 -34.590752)</v>
      </c>
    </row>
    <row r="6" spans="1:2" x14ac:dyDescent="0.4">
      <c r="A6" t="s">
        <v>254</v>
      </c>
      <c r="B6" t="str">
        <f t="shared" si="0"/>
        <v>POINT(-58.392571 -34.591213)</v>
      </c>
    </row>
    <row r="7" spans="1:2" x14ac:dyDescent="0.4">
      <c r="A7" t="s">
        <v>256</v>
      </c>
      <c r="B7" t="str">
        <f t="shared" si="0"/>
        <v>POINT(-58.391777 -34.592102)</v>
      </c>
    </row>
    <row r="8" spans="1:2" x14ac:dyDescent="0.4">
      <c r="A8" t="s">
        <v>258</v>
      </c>
      <c r="B8" t="str">
        <f t="shared" si="0"/>
        <v>POINT(-58.391026 -34.592506)</v>
      </c>
    </row>
    <row r="9" spans="1:2" x14ac:dyDescent="0.4">
      <c r="A9" t="s">
        <v>261</v>
      </c>
      <c r="B9" t="str">
        <f t="shared" si="0"/>
        <v>POINT(-58.392952 -34.590828)</v>
      </c>
    </row>
    <row r="10" spans="1:2" x14ac:dyDescent="0.4">
      <c r="A10" t="s">
        <v>263</v>
      </c>
      <c r="B10" t="str">
        <f t="shared" si="0"/>
        <v>POINT(-58.390587 -34.591076)</v>
      </c>
    </row>
    <row r="11" spans="1:2" x14ac:dyDescent="0.4">
      <c r="A11" t="s">
        <v>265</v>
      </c>
      <c r="B11" t="str">
        <f t="shared" si="0"/>
        <v>POINT(-58.390484 -34.591259)</v>
      </c>
    </row>
    <row r="12" spans="1:2" x14ac:dyDescent="0.4">
      <c r="A12" t="s">
        <v>267</v>
      </c>
      <c r="B12" t="str">
        <f t="shared" si="0"/>
        <v>POINT(-58.389732 -34.591938)</v>
      </c>
    </row>
    <row r="13" spans="1:2" x14ac:dyDescent="0.4">
      <c r="A13" t="s">
        <v>269</v>
      </c>
      <c r="B13" t="str">
        <f t="shared" si="0"/>
        <v>POINT(-58.387241 -34.587566)</v>
      </c>
    </row>
    <row r="14" spans="1:2" x14ac:dyDescent="0.4">
      <c r="A14" t="s">
        <v>271</v>
      </c>
      <c r="B14" t="str">
        <f t="shared" si="0"/>
        <v>POINT(-58.384201 -34.591892)</v>
      </c>
    </row>
    <row r="15" spans="1:2" x14ac:dyDescent="0.4">
      <c r="A15" t="s">
        <v>273</v>
      </c>
      <c r="B15" t="str">
        <f t="shared" si="0"/>
        <v>POINT(-58.384403 -34.592426)</v>
      </c>
    </row>
    <row r="16" spans="1:2" x14ac:dyDescent="0.4">
      <c r="A16" t="s">
        <v>275</v>
      </c>
      <c r="B16" t="str">
        <f t="shared" si="0"/>
        <v>POINT(-58.384228 -34.587570)</v>
      </c>
    </row>
    <row r="17" spans="1:2" x14ac:dyDescent="0.4">
      <c r="A17" t="s">
        <v>277</v>
      </c>
      <c r="B17" t="str">
        <f t="shared" si="0"/>
        <v>POINT(-58.385788 -34.587750)</v>
      </c>
    </row>
    <row r="18" spans="1:2" x14ac:dyDescent="0.4">
      <c r="A18" t="s">
        <v>279</v>
      </c>
      <c r="B18" t="str">
        <f t="shared" si="0"/>
        <v>POINT(-58.388268 -34.590282)</v>
      </c>
    </row>
    <row r="19" spans="1:2" x14ac:dyDescent="0.4">
      <c r="A19" t="s">
        <v>281</v>
      </c>
      <c r="B19" t="str">
        <f t="shared" si="0"/>
        <v>POINT(-58.389393 -34.591255)</v>
      </c>
    </row>
    <row r="20" spans="1:2" x14ac:dyDescent="0.4">
      <c r="A20" t="s">
        <v>283</v>
      </c>
      <c r="B20" t="str">
        <f t="shared" si="0"/>
        <v>POINT(-58.392174 -34.592304)</v>
      </c>
    </row>
    <row r="21" spans="1:2" x14ac:dyDescent="0.4">
      <c r="A21" t="s">
        <v>285</v>
      </c>
      <c r="B21" t="str">
        <f t="shared" si="0"/>
        <v>POINT(-58.386482 -34.586521)</v>
      </c>
    </row>
    <row r="22" spans="1:2" x14ac:dyDescent="0.4">
      <c r="A22" t="s">
        <v>287</v>
      </c>
      <c r="B22" t="str">
        <f t="shared" si="0"/>
        <v>POINT(-58.387241 -34.585949)</v>
      </c>
    </row>
    <row r="23" spans="1:2" x14ac:dyDescent="0.4">
      <c r="A23" t="s">
        <v>290</v>
      </c>
      <c r="B23" t="str">
        <f t="shared" si="0"/>
        <v>POINT(-58.395897 -34.590088)</v>
      </c>
    </row>
    <row r="24" spans="1:2" x14ac:dyDescent="0.4">
      <c r="A24" t="s">
        <v>290</v>
      </c>
      <c r="B24" t="str">
        <f t="shared" si="0"/>
        <v>POINT(-58.395897 -34.590088)</v>
      </c>
    </row>
    <row r="25" spans="1:2" x14ac:dyDescent="0.4">
      <c r="A25" t="s">
        <v>292</v>
      </c>
      <c r="B25" t="str">
        <f t="shared" si="0"/>
        <v>POINT(-58.395676 -34.590271)</v>
      </c>
    </row>
    <row r="26" spans="1:2" x14ac:dyDescent="0.4">
      <c r="A26" t="s">
        <v>294</v>
      </c>
      <c r="B26" t="str">
        <f t="shared" si="0"/>
        <v>POINT(-58.391491 -34.588661)</v>
      </c>
    </row>
    <row r="27" spans="1:2" x14ac:dyDescent="0.4">
      <c r="A27" t="s">
        <v>296</v>
      </c>
      <c r="B27" t="str">
        <f t="shared" si="0"/>
        <v>POINT(-58.388203 -34.591473)</v>
      </c>
    </row>
    <row r="28" spans="1:2" x14ac:dyDescent="0.4">
      <c r="A28" t="s">
        <v>298</v>
      </c>
      <c r="B28" t="str">
        <f t="shared" si="0"/>
        <v>POINT(-58.387405 -34.592144)</v>
      </c>
    </row>
    <row r="29" spans="1:2" x14ac:dyDescent="0.4">
      <c r="A29" t="s">
        <v>300</v>
      </c>
      <c r="B29" t="str">
        <f t="shared" si="0"/>
        <v>POINT(-58.385822 -34.592819)</v>
      </c>
    </row>
    <row r="30" spans="1:2" x14ac:dyDescent="0.4">
      <c r="A30" t="s">
        <v>302</v>
      </c>
      <c r="B30" t="str">
        <f t="shared" si="0"/>
        <v>POINT(-58.383381 -34.589275)</v>
      </c>
    </row>
    <row r="31" spans="1:2" x14ac:dyDescent="0.4">
      <c r="A31" t="s">
        <v>304</v>
      </c>
      <c r="B31" t="str">
        <f t="shared" si="0"/>
        <v>POINT(-58.383034 -34.588848)</v>
      </c>
    </row>
    <row r="33" spans="1:2" x14ac:dyDescent="0.4">
      <c r="A33" t="s">
        <v>456</v>
      </c>
      <c r="B33" t="str">
        <f>CONCATENATE("POINT(",RIGHT(A33,19), " ",LEFT(A33,19),")")</f>
        <v>POINT(-58.379353879762654 -34.592751398651934)</v>
      </c>
    </row>
    <row r="34" spans="1:2" x14ac:dyDescent="0.4">
      <c r="A34" t="s">
        <v>457</v>
      </c>
      <c r="B34" t="str">
        <f t="shared" ref="B34:B64" si="1">CONCATENATE("POINT(",RIGHT(A34,19), " ",LEFT(A34,19),")")</f>
        <v>POINT(-58.379362077909626 -34.59275009477967,)</v>
      </c>
    </row>
    <row r="35" spans="1:2" x14ac:dyDescent="0.4">
      <c r="A35" t="s">
        <v>458</v>
      </c>
      <c r="B35" t="str">
        <f t="shared" si="1"/>
        <v>POINT(-58.380312094986074 -34.5926072032849, )</v>
      </c>
    </row>
    <row r="36" spans="1:2" x14ac:dyDescent="0.4">
      <c r="A36" t="s">
        <v>459</v>
      </c>
      <c r="B36" t="str">
        <f t="shared" si="1"/>
        <v>POINT(-58.380793893254214 -34.592594834120035)</v>
      </c>
    </row>
    <row r="37" spans="1:2" x14ac:dyDescent="0.4">
      <c r="A37" t="s">
        <v>460</v>
      </c>
      <c r="B37" t="str">
        <f t="shared" si="1"/>
        <v>POINT( -58.38370912567533 -34.592641503372406)</v>
      </c>
    </row>
    <row r="38" spans="1:2" x14ac:dyDescent="0.4">
      <c r="A38" t="s">
        <v>461</v>
      </c>
      <c r="B38" t="str">
        <f t="shared" si="1"/>
        <v>POINT( -58.38444508149447 -34.59277007165979,)</v>
      </c>
    </row>
    <row r="39" spans="1:2" x14ac:dyDescent="0.4">
      <c r="A39" t="s">
        <v>462</v>
      </c>
      <c r="B39" t="str">
        <f t="shared" si="1"/>
        <v>POINT( -58.38596742567537 -34.59267785990272,)</v>
      </c>
    </row>
    <row r="40" spans="1:2" x14ac:dyDescent="0.4">
      <c r="A40" t="s">
        <v>463</v>
      </c>
      <c r="B40" t="str">
        <f t="shared" si="1"/>
        <v>POINT(, -58.3909524545115 -34.59219447753868,)</v>
      </c>
    </row>
    <row r="41" spans="1:2" x14ac:dyDescent="0.4">
      <c r="A41" t="s">
        <v>464</v>
      </c>
      <c r="B41" t="str">
        <f t="shared" si="1"/>
        <v>POINT( -58.39231031033092 -34.59206889462266,)</v>
      </c>
    </row>
    <row r="42" spans="1:2" x14ac:dyDescent="0.4">
      <c r="A42" t="s">
        <v>465</v>
      </c>
      <c r="B42" t="str">
        <f t="shared" si="1"/>
        <v>POINT(-58.392908439166945 -34.59257752766326,)</v>
      </c>
    </row>
    <row r="43" spans="1:2" x14ac:dyDescent="0.4">
      <c r="A43" t="s">
        <v>466</v>
      </c>
      <c r="B43" t="str">
        <f t="shared" si="1"/>
        <v>POINT( -58.39304742567526 -34.593234860849975)</v>
      </c>
    </row>
    <row r="44" spans="1:2" x14ac:dyDescent="0.4">
      <c r="A44" t="s">
        <v>467</v>
      </c>
      <c r="B44" t="str">
        <f t="shared" si="1"/>
        <v>POINT( -58.39334189683926 -34.594321035169656)</v>
      </c>
    </row>
    <row r="45" spans="1:2" x14ac:dyDescent="0.4">
      <c r="A45" t="s">
        <v>468</v>
      </c>
      <c r="B45" t="str">
        <f t="shared" si="1"/>
        <v>POINT( -58.39334315092651 -34.594490062571474)</v>
      </c>
    </row>
    <row r="46" spans="1:2" x14ac:dyDescent="0.4">
      <c r="A46" t="s">
        <v>469</v>
      </c>
      <c r="B46" t="str">
        <f t="shared" si="1"/>
        <v>POINT( -58.39213403916676 -34.595064836750986)</v>
      </c>
    </row>
    <row r="47" spans="1:2" x14ac:dyDescent="0.4">
      <c r="A47" t="s">
        <v>470</v>
      </c>
      <c r="B47" t="str">
        <f t="shared" si="1"/>
        <v>POINT( -58.39407218334746 -34.59479003166138,)</v>
      </c>
    </row>
    <row r="48" spans="1:2" x14ac:dyDescent="0.4">
      <c r="A48" t="s">
        <v>471</v>
      </c>
      <c r="B48" t="str">
        <f t="shared" si="1"/>
        <v>POINT( -58.39583289683914 -34.59366103376648,)</v>
      </c>
    </row>
    <row r="49" spans="1:2" x14ac:dyDescent="0.4">
      <c r="A49" t="s">
        <v>472</v>
      </c>
      <c r="B49" t="str">
        <f t="shared" si="1"/>
        <v>POINT( -58.39503179683923 -34.59257105972096,)</v>
      </c>
    </row>
    <row r="50" spans="1:2" x14ac:dyDescent="0.4">
      <c r="A50" t="s">
        <v>473</v>
      </c>
      <c r="B50" t="str">
        <f t="shared" si="1"/>
        <v>POINT( -58.39499749683903 -34.59257003144718,)</v>
      </c>
    </row>
    <row r="51" spans="1:2" x14ac:dyDescent="0.4">
      <c r="A51" t="s">
        <v>474</v>
      </c>
      <c r="B51" t="str">
        <f t="shared" si="1"/>
        <v>POINT( -58.39043052567507 -34.59495064107324,)</v>
      </c>
    </row>
    <row r="52" spans="1:2" x14ac:dyDescent="0.4">
      <c r="A52" t="s">
        <v>475</v>
      </c>
      <c r="B52" t="str">
        <f t="shared" si="1"/>
        <v>POINT( -58.38120022382222 -34.594037298388706)</v>
      </c>
    </row>
    <row r="53" spans="1:2" x14ac:dyDescent="0.4">
      <c r="A53" t="s">
        <v>476</v>
      </c>
      <c r="B53" t="str">
        <f t="shared" si="1"/>
        <v>POINT( -58.37970559498623 -34.59392628973621,)</v>
      </c>
    </row>
    <row r="54" spans="1:2" x14ac:dyDescent="0.4">
      <c r="A54" t="s">
        <v>477</v>
      </c>
      <c r="B54" t="str">
        <f t="shared" si="1"/>
        <v>POINT(-58.379419639166684 -34.593884902316674)</v>
      </c>
    </row>
    <row r="55" spans="1:2" x14ac:dyDescent="0.4">
      <c r="A55" t="s">
        <v>478</v>
      </c>
      <c r="B55" t="str">
        <f t="shared" si="1"/>
        <v>POINT(, -58.3784440545115 -34.59163019378331,)</v>
      </c>
    </row>
    <row r="56" spans="1:2" x14ac:dyDescent="0.4">
      <c r="A56" t="s">
        <v>479</v>
      </c>
      <c r="B56" t="str">
        <f t="shared" si="1"/>
        <v>POINT( -58.38239918334751 -34.59429033075849,)</v>
      </c>
    </row>
    <row r="57" spans="1:2" x14ac:dyDescent="0.4">
      <c r="A57" t="s">
        <v>480</v>
      </c>
      <c r="B57" t="str">
        <f t="shared" si="1"/>
        <v>POINT( -58.38410726800311 -34.590163026330394)</v>
      </c>
    </row>
    <row r="58" spans="1:2" x14ac:dyDescent="0.4">
      <c r="A58" t="s">
        <v>481</v>
      </c>
      <c r="B58" t="str">
        <f t="shared" si="1"/>
        <v>POINT( -58.38706697964162 -34.59543370577387,)</v>
      </c>
    </row>
    <row r="59" spans="1:2" x14ac:dyDescent="0.4">
      <c r="A59" t="s">
        <v>482</v>
      </c>
      <c r="B59" t="str">
        <f t="shared" si="1"/>
        <v>POINT( -58.38973843916656 -34.59743784715442,)</v>
      </c>
    </row>
    <row r="60" spans="1:2" x14ac:dyDescent="0.4">
      <c r="A60" t="s">
        <v>483</v>
      </c>
      <c r="B60" t="str">
        <f t="shared" si="1"/>
        <v>POINT( -58.38824001033042 -34.59816860629356,)</v>
      </c>
    </row>
    <row r="61" spans="1:2" x14ac:dyDescent="0.4">
      <c r="A61" t="s">
        <v>484</v>
      </c>
      <c r="B61" t="str">
        <f t="shared" si="1"/>
        <v>POINT( -58.38010633916672 -34.59753119433429,)</v>
      </c>
    </row>
    <row r="62" spans="1:2" x14ac:dyDescent="0.4">
      <c r="A62" t="s">
        <v>485</v>
      </c>
      <c r="B62" t="str">
        <f t="shared" si="1"/>
        <v>POINT( -58.37928311033056 -34.59740488397706,)</v>
      </c>
    </row>
    <row r="63" spans="1:2" x14ac:dyDescent="0.4">
      <c r="A63" t="s">
        <v>486</v>
      </c>
      <c r="B63" t="str">
        <f t="shared" si="1"/>
        <v>POINT( -58.37923519683892 -34.59749987347052,)</v>
      </c>
    </row>
    <row r="64" spans="1:2" x14ac:dyDescent="0.4">
      <c r="A64" t="s">
        <v>487</v>
      </c>
      <c r="B64" t="str">
        <f t="shared" si="1"/>
        <v>POINT( -58.37819278149436 -34.59745509957847,)</v>
      </c>
    </row>
    <row r="67" spans="1:2" x14ac:dyDescent="0.4">
      <c r="A67" t="s">
        <v>492</v>
      </c>
      <c r="B67" t="str">
        <f>CONCATENATE("POINT(",RIGHT(A67,18), " ",LEFT(A67,18),")")</f>
        <v>POINT(-58.37417729631218 -34.59426121625223)</v>
      </c>
    </row>
    <row r="68" spans="1:2" x14ac:dyDescent="0.4">
      <c r="A68" t="s">
        <v>491</v>
      </c>
      <c r="B68" t="str">
        <f t="shared" ref="B68:B131" si="2">CONCATENATE("POINT(",RIGHT(A68,18), " ",LEFT(A68,18),")")</f>
        <v>POINT(58.374490194743295 -34.59631975320537)</v>
      </c>
    </row>
    <row r="69" spans="1:2" x14ac:dyDescent="0.4">
      <c r="A69" t="s">
        <v>493</v>
      </c>
      <c r="B69" t="str">
        <f t="shared" si="2"/>
        <v>POINT(-58.37404856809685 -34.59631003912089)</v>
      </c>
    </row>
    <row r="70" spans="1:2" x14ac:dyDescent="0.4">
      <c r="A70" t="s">
        <v>495</v>
      </c>
      <c r="B70" t="str">
        <f t="shared" si="2"/>
        <v>POINT(-58.37417102171048 -34.59997516974474)</v>
      </c>
    </row>
    <row r="71" spans="1:2" x14ac:dyDescent="0.4">
      <c r="A71" t="s">
        <v>498</v>
      </c>
      <c r="B71" t="str">
        <f t="shared" si="2"/>
        <v>POINT(-58.37413921731743 -34.60011764712355)</v>
      </c>
    </row>
    <row r="72" spans="1:2" x14ac:dyDescent="0.4">
      <c r="A72" t="s">
        <v>499</v>
      </c>
      <c r="B72" t="str">
        <f t="shared" si="2"/>
        <v>POINT(-58.37393568321084 -34.60077751139046)</v>
      </c>
    </row>
    <row r="73" spans="1:2" x14ac:dyDescent="0.4">
      <c r="A73" t="s">
        <v>505</v>
      </c>
      <c r="B73" t="str">
        <f t="shared" si="2"/>
        <v>POINT(58.374105006764026 -34.60160556659449)</v>
      </c>
    </row>
    <row r="74" spans="1:2" x14ac:dyDescent="0.4">
      <c r="A74" t="s">
        <v>504</v>
      </c>
      <c r="B74" t="str">
        <f t="shared" si="2"/>
        <v>POINT(-58.37683840370606 -34.60175706983124)</v>
      </c>
    </row>
    <row r="75" spans="1:2" x14ac:dyDescent="0.4">
      <c r="A75" t="s">
        <v>507</v>
      </c>
      <c r="B75" t="str">
        <f t="shared" si="2"/>
        <v>POINT( -58.3779792251339 -34.60084633613232)</v>
      </c>
    </row>
    <row r="76" spans="1:2" x14ac:dyDescent="0.4">
      <c r="A76" t="s">
        <v>509</v>
      </c>
      <c r="B76" t="str">
        <f t="shared" si="2"/>
        <v>POINT(-58.38062693141472 -34.60252272052468)</v>
      </c>
    </row>
    <row r="77" spans="1:2" x14ac:dyDescent="0.4">
      <c r="A77" t="s">
        <v>511</v>
      </c>
      <c r="B77" t="str">
        <f t="shared" si="2"/>
        <v>POINT(-58.37185137991847 -34.60166177027791)</v>
      </c>
    </row>
    <row r="78" spans="1:2" x14ac:dyDescent="0.4">
      <c r="A78" t="s">
        <v>513</v>
      </c>
      <c r="B78" t="str">
        <f t="shared" si="2"/>
        <v>POINT(58.372531365966914 -34.60094177487859)</v>
      </c>
    </row>
    <row r="79" spans="1:2" x14ac:dyDescent="0.4">
      <c r="A79" t="s">
        <v>515</v>
      </c>
      <c r="B79" t="str">
        <f t="shared" si="2"/>
        <v>POINT( -58.3698723348171 -34.59948039711649)</v>
      </c>
    </row>
    <row r="80" spans="1:2" x14ac:dyDescent="0.4">
      <c r="A80" t="s">
        <v>517</v>
      </c>
      <c r="B80" t="str">
        <f t="shared" si="2"/>
        <v>POINT(58.372177357763256 -34.59897410526749)</v>
      </c>
    </row>
    <row r="81" spans="1:2" x14ac:dyDescent="0.4">
      <c r="A81" t="s">
        <v>519</v>
      </c>
      <c r="B81" t="str">
        <f t="shared" si="2"/>
        <v>POINT(-58.37642635938354 -34.59892601749478)</v>
      </c>
    </row>
    <row r="82" spans="1:2" x14ac:dyDescent="0.4">
      <c r="A82" t="s">
        <v>521</v>
      </c>
      <c r="B82" t="str">
        <f t="shared" si="2"/>
        <v>POINT(-58.37689074687033 -34.59998503450598)</v>
      </c>
    </row>
    <row r="83" spans="1:2" x14ac:dyDescent="0.4">
      <c r="A83" t="s">
        <v>523</v>
      </c>
      <c r="B83" t="str">
        <f t="shared" si="2"/>
        <v>POINT(-58.37689410732305 -34.59980923467945)</v>
      </c>
    </row>
    <row r="84" spans="1:2" x14ac:dyDescent="0.4">
      <c r="A84" t="s">
        <v>525</v>
      </c>
      <c r="B84" t="str">
        <f t="shared" si="2"/>
        <v>POINT(-58.37982390410851 -34.59924501158014)</v>
      </c>
    </row>
    <row r="85" spans="1:2" x14ac:dyDescent="0.4">
      <c r="A85" t="s">
        <v>527</v>
      </c>
      <c r="B85" t="str">
        <f t="shared" si="2"/>
        <v>POINT(-58.38013110947526 -34.5994756010369,)</v>
      </c>
    </row>
    <row r="86" spans="1:2" x14ac:dyDescent="0.4">
      <c r="A86" t="s">
        <v>529</v>
      </c>
      <c r="B86" t="str">
        <f t="shared" si="2"/>
        <v>POINT(-58.36988397748167 -34.59947443354974)</v>
      </c>
    </row>
    <row r="87" spans="1:2" x14ac:dyDescent="0.4">
      <c r="A87" t="s">
        <v>531</v>
      </c>
      <c r="B87" t="str">
        <f t="shared" si="2"/>
        <v>POINT(-58.37194337445588 -34.59910442371684)</v>
      </c>
    </row>
    <row r="88" spans="1:2" x14ac:dyDescent="0.4">
      <c r="A88" t="s">
        <v>533</v>
      </c>
      <c r="B88" t="str">
        <f t="shared" si="2"/>
        <v>POINT(-58.37686990171341 -34.60000418862567)</v>
      </c>
    </row>
    <row r="89" spans="1:2" x14ac:dyDescent="0.4">
      <c r="A89" t="s">
        <v>535</v>
      </c>
      <c r="B89" t="str">
        <f t="shared" si="2"/>
        <v>POINT(-58.37690179873412 -34.59979020524474)</v>
      </c>
    </row>
    <row r="90" spans="1:2" x14ac:dyDescent="0.4">
      <c r="A90" t="s">
        <v>537</v>
      </c>
      <c r="B90" t="str">
        <f t="shared" si="2"/>
        <v>POINT(-58.37313520060733 -34.59994046893809)</v>
      </c>
    </row>
    <row r="91" spans="1:2" x14ac:dyDescent="0.4">
      <c r="A91" t="s">
        <v>539</v>
      </c>
      <c r="B91" t="str">
        <f t="shared" si="2"/>
        <v>POINT(-58.37420641317498 -34.60025991168651)</v>
      </c>
    </row>
    <row r="92" spans="1:2" x14ac:dyDescent="0.4">
      <c r="A92" t="s">
        <v>541</v>
      </c>
      <c r="B92" t="str">
        <f t="shared" si="2"/>
        <v>POINT(-58.37623616421739 -34.60044905155701)</v>
      </c>
    </row>
    <row r="93" spans="1:2" x14ac:dyDescent="0.4">
      <c r="A93" t="s">
        <v>543</v>
      </c>
      <c r="B93" t="str">
        <f t="shared" si="2"/>
        <v>POINT(58.378474090267524 -34.60114125728994)</v>
      </c>
    </row>
    <row r="94" spans="1:2" x14ac:dyDescent="0.4">
      <c r="A94" t="s">
        <v>545</v>
      </c>
      <c r="B94" t="str">
        <f t="shared" si="2"/>
        <v>POINT(58.378357857679845 -34.60102299154477)</v>
      </c>
    </row>
    <row r="95" spans="1:2" x14ac:dyDescent="0.4">
      <c r="A95" t="s">
        <v>547</v>
      </c>
      <c r="B95" t="str">
        <f t="shared" si="2"/>
        <v>POINT(-58.37876730006283 -34.60098530899635)</v>
      </c>
    </row>
    <row r="96" spans="1:2" x14ac:dyDescent="0.4">
      <c r="A96" t="s">
        <v>549</v>
      </c>
      <c r="B96" t="str">
        <f t="shared" si="2"/>
        <v>POINT(58.379209586630644 -34.60099303788245)</v>
      </c>
    </row>
    <row r="97" spans="1:2" x14ac:dyDescent="0.4">
      <c r="A97" t="s">
        <v>551</v>
      </c>
      <c r="B97" t="str">
        <f t="shared" si="2"/>
        <v>POINT( -58.3739972779002 -34.59626704689463)</v>
      </c>
    </row>
    <row r="98" spans="1:2" x14ac:dyDescent="0.4">
      <c r="A98" t="s">
        <v>553</v>
      </c>
      <c r="B98" t="str">
        <f t="shared" si="2"/>
        <v>POINT(58.374595405833276 -34.59733927075751)</v>
      </c>
    </row>
    <row r="99" spans="1:2" x14ac:dyDescent="0.4">
      <c r="A99" t="s">
        <v>555</v>
      </c>
      <c r="B99" t="str">
        <f t="shared" si="2"/>
        <v>POINT(-58.37871522932065 -34.5926340366333,)</v>
      </c>
    </row>
    <row r="100" spans="1:2" x14ac:dyDescent="0.4">
      <c r="A100" t="s">
        <v>557</v>
      </c>
      <c r="B100" t="str">
        <f t="shared" si="2"/>
        <v>POINT(-58.38023122022828 -34.59413206311817)</v>
      </c>
    </row>
    <row r="101" spans="1:2" x14ac:dyDescent="0.4">
      <c r="A101" t="s">
        <v>559</v>
      </c>
      <c r="B101" t="str">
        <f t="shared" si="2"/>
        <v>POINT(58.379632744793824 -34.59625186163353)</v>
      </c>
    </row>
    <row r="102" spans="1:2" x14ac:dyDescent="0.4">
      <c r="A102" t="s">
        <v>561</v>
      </c>
      <c r="B102" t="str">
        <f t="shared" si="2"/>
        <v>POINT(-58.38660501283051 -34.59088960783957)</v>
      </c>
    </row>
    <row r="103" spans="1:2" x14ac:dyDescent="0.4">
      <c r="A103" t="s">
        <v>563</v>
      </c>
      <c r="B103" t="str">
        <f t="shared" si="2"/>
        <v>POINT(58.387469863007574 -34.59003107736141)</v>
      </c>
    </row>
    <row r="104" spans="1:2" x14ac:dyDescent="0.4">
      <c r="A104" t="s">
        <v>565</v>
      </c>
      <c r="B104" t="str">
        <f t="shared" si="2"/>
        <v>POINT(-58.38865448968399 -34.5889495412003,)</v>
      </c>
    </row>
    <row r="105" spans="1:2" x14ac:dyDescent="0.4">
      <c r="A105" t="s">
        <v>567</v>
      </c>
      <c r="B105" t="str">
        <f t="shared" si="2"/>
        <v>POINT(-58.38885679927572 -34.58889138846851)</v>
      </c>
    </row>
    <row r="106" spans="1:2" x14ac:dyDescent="0.4">
      <c r="A106" t="s">
        <v>569</v>
      </c>
      <c r="B106" t="str">
        <f t="shared" si="2"/>
        <v>POINT(-58.39052991058189 -34.58726660557336)</v>
      </c>
    </row>
    <row r="107" spans="1:2" x14ac:dyDescent="0.4">
      <c r="A107" t="s">
        <v>571</v>
      </c>
      <c r="B107" t="str">
        <f t="shared" si="2"/>
        <v>POINT(58.391097878070816 -34.5925936582239,)</v>
      </c>
    </row>
    <row r="108" spans="1:2" x14ac:dyDescent="0.4">
      <c r="A108" t="s">
        <v>573</v>
      </c>
      <c r="B108" t="str">
        <f t="shared" si="2"/>
        <v>POINT(58.391188410324716 -34.59267848461647)</v>
      </c>
    </row>
    <row r="109" spans="1:2" x14ac:dyDescent="0.4">
      <c r="A109" t="s">
        <v>575</v>
      </c>
      <c r="B109" t="str">
        <f t="shared" si="2"/>
        <v>POINT(58.391556050296806 -34.59304889837907)</v>
      </c>
    </row>
    <row r="110" spans="1:2" x14ac:dyDescent="0.4">
      <c r="A110" t="s">
        <v>577</v>
      </c>
      <c r="B110" t="str">
        <f t="shared" si="2"/>
        <v>POINT(58.391957744013354 -34.5939277633847,)</v>
      </c>
    </row>
    <row r="111" spans="1:2" x14ac:dyDescent="0.4">
      <c r="A111" t="s">
        <v>579</v>
      </c>
      <c r="B111" t="str">
        <f t="shared" si="2"/>
        <v>POINT(-58.39028513862491 -34.59357173859917)</v>
      </c>
    </row>
    <row r="112" spans="1:2" x14ac:dyDescent="0.4">
      <c r="A112" t="s">
        <v>581</v>
      </c>
      <c r="B112" t="str">
        <f t="shared" si="2"/>
        <v>POINT(58.394814434800104 -34.59326402634652)</v>
      </c>
    </row>
    <row r="113" spans="1:2" x14ac:dyDescent="0.4">
      <c r="A113" t="s">
        <v>583</v>
      </c>
      <c r="B113" t="str">
        <f t="shared" si="2"/>
        <v>POINT(58.394495148933906 -34.59520600023819)</v>
      </c>
    </row>
    <row r="114" spans="1:2" x14ac:dyDescent="0.4">
      <c r="A114" t="s">
        <v>585</v>
      </c>
      <c r="B114" t="str">
        <f t="shared" si="2"/>
        <v>POINT(-58.38766304159196 -34.59220995427856)</v>
      </c>
    </row>
    <row r="115" spans="1:2" x14ac:dyDescent="0.4">
      <c r="A115" t="s">
        <v>587</v>
      </c>
      <c r="B115" t="str">
        <f t="shared" si="2"/>
        <v>POINT(-58.38708332425223 -34.59460216929, -)</v>
      </c>
    </row>
    <row r="116" spans="1:2" x14ac:dyDescent="0.4">
      <c r="A116" t="s">
        <v>589</v>
      </c>
      <c r="B116" t="str">
        <f t="shared" si="2"/>
        <v>POINT(-58.38705484854052 -34.5970581117391,)</v>
      </c>
    </row>
    <row r="117" spans="1:2" x14ac:dyDescent="0.4">
      <c r="A117" t="s">
        <v>591</v>
      </c>
      <c r="B117" t="str">
        <f t="shared" si="2"/>
        <v>POINT(-58.38685479583177 -34.59678252860113)</v>
      </c>
    </row>
    <row r="118" spans="1:2" x14ac:dyDescent="0.4">
      <c r="A118" t="s">
        <v>592</v>
      </c>
      <c r="B118" t="str">
        <f t="shared" si="2"/>
        <v>POINT(-58.38682571296599 -34.59875150180119)</v>
      </c>
    </row>
    <row r="119" spans="1:2" x14ac:dyDescent="0.4">
      <c r="A119" t="s">
        <v>595</v>
      </c>
      <c r="B119" t="str">
        <f t="shared" si="2"/>
        <v>POINT( -58.3856863225489 -34.59561620342354)</v>
      </c>
    </row>
    <row r="120" spans="1:2" x14ac:dyDescent="0.4">
      <c r="A120" t="s">
        <v>597</v>
      </c>
      <c r="B120" t="str">
        <f t="shared" si="2"/>
        <v>POINT(-58.38545146192908 -34.59637786353867)</v>
      </c>
    </row>
    <row r="121" spans="1:2" x14ac:dyDescent="0.4">
      <c r="A121" t="s">
        <v>599</v>
      </c>
      <c r="B121" t="str">
        <f t="shared" si="2"/>
        <v>POINT(-58.38544318005452 -34.59758742064343)</v>
      </c>
    </row>
    <row r="122" spans="1:2" x14ac:dyDescent="0.4">
      <c r="A122" t="s">
        <v>600</v>
      </c>
      <c r="B122" t="str">
        <f t="shared" si="2"/>
        <v>POINT(58.385457134064545 -34.5983602563762,)</v>
      </c>
    </row>
    <row r="123" spans="1:2" x14ac:dyDescent="0.4">
      <c r="A123" t="s">
        <v>603</v>
      </c>
      <c r="B123" t="str">
        <f t="shared" si="2"/>
        <v>POINT(58.385072609021684 -34.59794519432752)</v>
      </c>
    </row>
    <row r="124" spans="1:2" x14ac:dyDescent="0.4">
      <c r="A124" t="s">
        <v>604</v>
      </c>
      <c r="B124" t="str">
        <f t="shared" si="2"/>
        <v>POINT(58.384002691223756 -34.59842083966213)</v>
      </c>
    </row>
    <row r="125" spans="1:2" x14ac:dyDescent="0.4">
      <c r="A125" t="s">
        <v>607</v>
      </c>
      <c r="B125" t="str">
        <f t="shared" si="2"/>
        <v>POINT(58.384294398129406 -34.59563228810518)</v>
      </c>
    </row>
    <row r="126" spans="1:2" x14ac:dyDescent="0.4">
      <c r="A126" t="s">
        <v>608</v>
      </c>
      <c r="B126" t="str">
        <f t="shared" si="2"/>
        <v>POINT(-58.38420016145153 -34.59596324219083)</v>
      </c>
    </row>
    <row r="127" spans="1:2" x14ac:dyDescent="0.4">
      <c r="A127" t="s">
        <v>611</v>
      </c>
      <c r="B127" t="str">
        <f t="shared" si="2"/>
        <v>POINT(-58.38437066252553 -34.59461301802697)</v>
      </c>
    </row>
    <row r="128" spans="1:2" x14ac:dyDescent="0.4">
      <c r="A128" t="s">
        <v>613</v>
      </c>
      <c r="B128" t="str">
        <f t="shared" si="2"/>
        <v>POINT( -58.3842052739984 -34.59270298086338)</v>
      </c>
    </row>
    <row r="129" spans="1:2" x14ac:dyDescent="0.4">
      <c r="A129" t="s">
        <v>615</v>
      </c>
      <c r="B129" t="str">
        <f t="shared" si="2"/>
        <v>POINT(58.386016076569724 -34.59822226022164)</v>
      </c>
    </row>
    <row r="130" spans="1:2" x14ac:dyDescent="0.4">
      <c r="A130" t="s">
        <v>617</v>
      </c>
      <c r="B130" t="str">
        <f t="shared" si="2"/>
        <v>POINT(-58.38598764337407 -34.59859587354077)</v>
      </c>
    </row>
    <row r="131" spans="1:2" x14ac:dyDescent="0.4">
      <c r="A131" t="s">
        <v>619</v>
      </c>
      <c r="B131" t="str">
        <f t="shared" si="2"/>
        <v>POINT(58.387679972915926 -34.59821090066219)</v>
      </c>
    </row>
    <row r="132" spans="1:2" x14ac:dyDescent="0.4">
      <c r="A132" t="s">
        <v>621</v>
      </c>
      <c r="B132" t="str">
        <f t="shared" ref="B132:B138" si="3">CONCATENATE("POINT(",RIGHT(A132,18), " ",LEFT(A132,18),")")</f>
        <v>POINT(-58.38805679316539 -34.59727976042873)</v>
      </c>
    </row>
    <row r="133" spans="1:2" x14ac:dyDescent="0.4">
      <c r="A133" t="s">
        <v>623</v>
      </c>
      <c r="B133" t="str">
        <f t="shared" si="3"/>
        <v>POINT(-58.38834677902095 -34.59763029447477)</v>
      </c>
    </row>
    <row r="134" spans="1:2" x14ac:dyDescent="0.4">
      <c r="A134" t="s">
        <v>625</v>
      </c>
      <c r="B134" t="str">
        <f t="shared" si="3"/>
        <v>POINT(-58.38809632506845 -34.59588228734294)</v>
      </c>
    </row>
    <row r="135" spans="1:2" x14ac:dyDescent="0.4">
      <c r="A135" t="s">
        <v>627</v>
      </c>
      <c r="B135" t="str">
        <f t="shared" si="3"/>
        <v>POINT(-58.39014023071508 -34.59445101775286)</v>
      </c>
    </row>
    <row r="136" spans="1:2" x14ac:dyDescent="0.4">
      <c r="A136" t="s">
        <v>629</v>
      </c>
      <c r="B136" t="str">
        <f t="shared" si="3"/>
        <v>POINT(-58.38971489422161 -34.59615922190689)</v>
      </c>
    </row>
    <row r="137" spans="1:2" x14ac:dyDescent="0.4">
      <c r="A137" t="s">
        <v>631</v>
      </c>
      <c r="B137" t="str">
        <f t="shared" si="3"/>
        <v>POINT(-58.39215371963322 -34.59620882414304)</v>
      </c>
    </row>
    <row r="138" spans="1:2" x14ac:dyDescent="0.4">
      <c r="A138" t="s">
        <v>633</v>
      </c>
      <c r="B138" t="str">
        <f t="shared" si="3"/>
        <v>POINT(-58.38788847757029 -34.58480157579597)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CA2F-2EC7-4773-9756-1879DF6D4B61}">
  <dimension ref="A1:A14"/>
  <sheetViews>
    <sheetView workbookViewId="0">
      <selection activeCell="A15" sqref="A15"/>
    </sheetView>
  </sheetViews>
  <sheetFormatPr baseColWidth="10" defaultRowHeight="14.6" x14ac:dyDescent="0.4"/>
  <cols>
    <col min="1" max="1" width="29.23046875" customWidth="1"/>
  </cols>
  <sheetData>
    <row r="1" spans="1:1" x14ac:dyDescent="0.4">
      <c r="A1" t="str" cm="1">
        <f t="array" ref="A1:A13">_xlfn.UNIQUE(limpieza_datos!J2:J76)</f>
        <v>Supermercado Carrefour Express</v>
      </c>
    </row>
    <row r="2" spans="1:1" x14ac:dyDescent="0.4">
      <c r="A2" t="str">
        <v>Carniceria RES</v>
      </c>
    </row>
    <row r="3" spans="1:1" x14ac:dyDescent="0.4">
      <c r="A3" t="str">
        <v>Almacen</v>
      </c>
    </row>
    <row r="4" spans="1:1" x14ac:dyDescent="0.4">
      <c r="A4" t="str">
        <v>Almacen Chino</v>
      </c>
    </row>
    <row r="5" spans="1:1" x14ac:dyDescent="0.4">
      <c r="A5" t="str">
        <v>Carniceria Fiambreria</v>
      </c>
    </row>
    <row r="6" spans="1:1" x14ac:dyDescent="0.4">
      <c r="A6" t="str">
        <v>Verduleria</v>
      </c>
    </row>
    <row r="7" spans="1:1" x14ac:dyDescent="0.4">
      <c r="A7" t="str">
        <v>Supermercado Dia</v>
      </c>
    </row>
    <row r="8" spans="1:1" x14ac:dyDescent="0.4">
      <c r="A8" t="str">
        <v>Fiambreria</v>
      </c>
    </row>
    <row r="9" spans="1:1" x14ac:dyDescent="0.4">
      <c r="A9" t="str">
        <v>Kiosco Mini Market</v>
      </c>
    </row>
    <row r="10" spans="1:1" x14ac:dyDescent="0.4">
      <c r="A10" t="str">
        <v>Supermercado Disco</v>
      </c>
    </row>
    <row r="11" spans="1:1" x14ac:dyDescent="0.4">
      <c r="A11" t="str">
        <v>Supermercado Jumbo</v>
      </c>
    </row>
    <row r="12" spans="1:1" x14ac:dyDescent="0.4">
      <c r="A12" t="str">
        <v>Supermercado Carrefour Market</v>
      </c>
    </row>
    <row r="13" spans="1:1" x14ac:dyDescent="0.4">
      <c r="A13" t="str">
        <v>Carniceria</v>
      </c>
    </row>
    <row r="14" spans="1:1" x14ac:dyDescent="0.4">
      <c r="A14" t="s">
        <v>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datos_limpios</vt:lpstr>
      <vt:lpstr>limpieza_datos</vt:lpstr>
      <vt:lpstr>z_datos originales (2)</vt:lpstr>
      <vt:lpstr>z_datos originales</vt:lpstr>
      <vt:lpstr>solapados_tanda1y3</vt:lpstr>
      <vt:lpstr>solapados_tanda1y2</vt:lpstr>
      <vt:lpstr>Hoja3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Angeles Suarez Anzorena</dc:creator>
  <cp:lastModifiedBy>Angeles Suarez Anzorena</cp:lastModifiedBy>
  <dcterms:created xsi:type="dcterms:W3CDTF">2025-06-15T14:17:23Z</dcterms:created>
  <dcterms:modified xsi:type="dcterms:W3CDTF">2026-03-19T12:56:02Z</dcterms:modified>
</cp:coreProperties>
</file>